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ORaw\Desktop\"/>
    </mc:Choice>
  </mc:AlternateContent>
  <xr:revisionPtr revIDLastSave="0" documentId="8_{7BC7F387-3BF9-4F3A-899C-EDA169DCB6B1}" xr6:coauthVersionLast="47" xr6:coauthVersionMax="47" xr10:uidLastSave="{00000000-0000-0000-0000-000000000000}"/>
  <bookViews>
    <workbookView xWindow="-120" yWindow="-120" windowWidth="20730" windowHeight="11040" xr2:uid="{DD7D5A59-9FA2-4580-874E-67EE480BFCD7}"/>
  </bookViews>
  <sheets>
    <sheet name="BOM - Racks on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H8" i="1"/>
  <c r="I8" i="1" s="1"/>
  <c r="J7" i="1"/>
  <c r="H7" i="1"/>
  <c r="I7" i="1" s="1"/>
  <c r="K7" i="1" s="1"/>
  <c r="N7" i="1" s="1"/>
  <c r="O7" i="1" s="1"/>
  <c r="H6" i="1"/>
  <c r="I6" i="1" s="1"/>
  <c r="K6" i="1" s="1"/>
  <c r="N6" i="1" s="1"/>
  <c r="O6" i="1" s="1"/>
  <c r="K8" i="1" l="1"/>
  <c r="N8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ORaw</author>
  </authors>
  <commentList>
    <comment ref="M2" authorId="0" shapeId="0" xr:uid="{6349D1DE-E5E2-4ED6-80C5-B0650D89DEA2}">
      <text>
        <r>
          <rPr>
            <b/>
            <sz val="9"/>
            <color indexed="81"/>
            <rFont val="Tahoma"/>
            <family val="2"/>
          </rPr>
          <t>Placeholder value
To be provided by Sales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<sst xmlns="http://schemas.openxmlformats.org/spreadsheetml/2006/main" count="29" uniqueCount="28">
  <si>
    <t>Item</t>
  </si>
  <si>
    <t>Description</t>
  </si>
  <si>
    <t>Equipment Rack</t>
  </si>
  <si>
    <t>Uniterruptable Power Supply</t>
  </si>
  <si>
    <t>Power Distribution Unit</t>
  </si>
  <si>
    <t>Manufacturer</t>
  </si>
  <si>
    <t xml:space="preserve">Make </t>
  </si>
  <si>
    <t>Model</t>
  </si>
  <si>
    <t>Network Switch</t>
  </si>
  <si>
    <t>Cisco</t>
  </si>
  <si>
    <t>Nexus</t>
  </si>
  <si>
    <t>Net Price Each</t>
  </si>
  <si>
    <t>Quantity</t>
  </si>
  <si>
    <t>VAT</t>
  </si>
  <si>
    <t>Percentage</t>
  </si>
  <si>
    <t>Amount</t>
  </si>
  <si>
    <t>Gross</t>
  </si>
  <si>
    <t>Total</t>
  </si>
  <si>
    <t>Labour - Installers</t>
  </si>
  <si>
    <t>Labour - Consultant</t>
  </si>
  <si>
    <t>Margin</t>
  </si>
  <si>
    <t>Profit</t>
  </si>
  <si>
    <t>Customer price</t>
  </si>
  <si>
    <t xml:space="preserve"> </t>
  </si>
  <si>
    <t>Reference</t>
  </si>
  <si>
    <t>19" Rack Cabinets - DJ Solutions Store</t>
  </si>
  <si>
    <t>E&amp;OE</t>
  </si>
  <si>
    <t>Quote valid for 30 days from date of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</si>
</sst>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#,##0"/>
    <numFmt numFmtId="165" formatCode="0.0%"/>
    <numFmt numFmtId="167" formatCode="&quot;€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textRotation="90"/>
    </xf>
    <xf numFmtId="164" fontId="0" fillId="0" borderId="0" xfId="0" applyNumberFormat="1"/>
    <xf numFmtId="164" fontId="0" fillId="0" borderId="0" xfId="0" applyNumberFormat="1" applyAlignment="1">
      <alignment horizontal="center" textRotation="90"/>
    </xf>
    <xf numFmtId="164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 textRotation="90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 textRotation="90"/>
    </xf>
    <xf numFmtId="164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textRotation="90"/>
    </xf>
    <xf numFmtId="9" fontId="0" fillId="0" borderId="0" xfId="0" applyNumberFormat="1" applyAlignment="1">
      <alignment horizontal="center"/>
    </xf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dj-solutions.ie/store-category/hardware/19-rack-cabin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191C-A9C4-44AE-90A5-8BE6E1BD3BE5}">
  <dimension ref="A1:O12"/>
  <sheetViews>
    <sheetView tabSelected="1" workbookViewId="0">
      <pane ySplit="2" topLeftCell="A3" activePane="bottomLeft" state="frozen"/>
      <selection pane="bottomLeft" activeCell="J5" sqref="J5"/>
    </sheetView>
  </sheetViews>
  <sheetFormatPr defaultRowHeight="15" x14ac:dyDescent="0.25"/>
  <cols>
    <col min="1" max="1" width="7" style="1" customWidth="1"/>
    <col min="2" max="2" width="28.85546875" customWidth="1"/>
    <col min="3" max="5" width="9.140625" style="1"/>
    <col min="6" max="6" width="9.140625" style="6"/>
    <col min="7" max="7" width="9.140625" style="9"/>
    <col min="8" max="8" width="9.140625" style="11"/>
    <col min="9" max="9" width="9.140625" style="6"/>
    <col min="10" max="10" width="9.140625" style="1"/>
    <col min="11" max="11" width="11.42578125" style="6" customWidth="1"/>
    <col min="12" max="12" width="34.7109375" style="1" customWidth="1"/>
    <col min="13" max="13" width="9.140625" style="13"/>
    <col min="14" max="14" width="9.140625" style="1"/>
  </cols>
  <sheetData>
    <row r="1" spans="1:15" x14ac:dyDescent="0.25">
      <c r="G1" s="7" t="s">
        <v>13</v>
      </c>
      <c r="H1" s="7"/>
      <c r="M1" s="15" t="s">
        <v>20</v>
      </c>
      <c r="N1" s="15"/>
    </row>
    <row r="2" spans="1:15" s="3" customFormat="1" ht="75.75" x14ac:dyDescent="0.25">
      <c r="A2" s="2" t="s">
        <v>0</v>
      </c>
      <c r="B2" s="3" t="s">
        <v>1</v>
      </c>
      <c r="C2" s="2" t="s">
        <v>5</v>
      </c>
      <c r="D2" s="2" t="s">
        <v>6</v>
      </c>
      <c r="E2" s="2" t="s">
        <v>7</v>
      </c>
      <c r="F2" s="5" t="s">
        <v>11</v>
      </c>
      <c r="G2" s="8" t="s">
        <v>14</v>
      </c>
      <c r="H2" s="10" t="s">
        <v>15</v>
      </c>
      <c r="I2" s="5" t="s">
        <v>16</v>
      </c>
      <c r="J2" s="2" t="s">
        <v>12</v>
      </c>
      <c r="K2" s="5" t="s">
        <v>17</v>
      </c>
      <c r="L2" s="2" t="s">
        <v>24</v>
      </c>
      <c r="M2" s="14" t="s">
        <v>14</v>
      </c>
      <c r="N2" s="2" t="s">
        <v>21</v>
      </c>
      <c r="O2" s="3" t="s">
        <v>22</v>
      </c>
    </row>
    <row r="3" spans="1:15" x14ac:dyDescent="0.25">
      <c r="A3" s="1">
        <v>1</v>
      </c>
      <c r="B3" t="s">
        <v>2</v>
      </c>
      <c r="J3" s="1">
        <v>10</v>
      </c>
      <c r="K3" s="6" t="s">
        <v>23</v>
      </c>
    </row>
    <row r="4" spans="1:15" x14ac:dyDescent="0.25">
      <c r="A4" s="1">
        <v>2</v>
      </c>
      <c r="B4" t="s">
        <v>3</v>
      </c>
      <c r="J4" s="1">
        <v>20</v>
      </c>
    </row>
    <row r="5" spans="1:15" x14ac:dyDescent="0.25">
      <c r="A5" s="1">
        <v>3</v>
      </c>
      <c r="B5" t="s">
        <v>4</v>
      </c>
      <c r="J5" s="1">
        <v>20</v>
      </c>
    </row>
    <row r="6" spans="1:15" x14ac:dyDescent="0.25">
      <c r="A6" s="1">
        <v>4</v>
      </c>
      <c r="B6" t="s">
        <v>8</v>
      </c>
      <c r="C6" s="1" t="s">
        <v>9</v>
      </c>
      <c r="D6" s="1" t="s">
        <v>10</v>
      </c>
      <c r="E6" s="1">
        <v>9300</v>
      </c>
      <c r="F6" s="6">
        <v>3000</v>
      </c>
      <c r="G6" s="9">
        <v>0.23</v>
      </c>
      <c r="H6" s="11">
        <f>F6*G6</f>
        <v>690</v>
      </c>
      <c r="I6" s="6">
        <f>F6+H6</f>
        <v>3690</v>
      </c>
      <c r="J6" s="1">
        <v>2</v>
      </c>
      <c r="K6" s="6">
        <f>I6*J6</f>
        <v>7380</v>
      </c>
      <c r="L6" s="16" t="s">
        <v>25</v>
      </c>
      <c r="M6" s="13">
        <v>0.25</v>
      </c>
      <c r="N6" s="6">
        <f>K6*M6</f>
        <v>1845</v>
      </c>
      <c r="O6" s="4">
        <f>K6+N6</f>
        <v>9225</v>
      </c>
    </row>
    <row r="7" spans="1:15" x14ac:dyDescent="0.25">
      <c r="A7" s="1">
        <v>5</v>
      </c>
      <c r="B7" t="s">
        <v>18</v>
      </c>
      <c r="F7" s="6">
        <v>50</v>
      </c>
      <c r="G7" s="9">
        <v>0.13500000000000001</v>
      </c>
      <c r="H7" s="12">
        <f>F7*G7</f>
        <v>6.75</v>
      </c>
      <c r="I7" s="6">
        <f>F7+H7</f>
        <v>56.75</v>
      </c>
      <c r="J7" s="1">
        <f>2*8*2</f>
        <v>32</v>
      </c>
      <c r="K7" s="6">
        <f>I7*J7</f>
        <v>1816</v>
      </c>
      <c r="M7" s="13">
        <v>0.1</v>
      </c>
      <c r="N7" s="6">
        <f>K7*M7</f>
        <v>181.60000000000002</v>
      </c>
      <c r="O7" s="4">
        <f>K7+N7</f>
        <v>1997.6</v>
      </c>
    </row>
    <row r="8" spans="1:15" x14ac:dyDescent="0.25">
      <c r="A8" s="1">
        <v>6</v>
      </c>
      <c r="B8" t="s">
        <v>19</v>
      </c>
      <c r="F8" s="6">
        <v>110</v>
      </c>
      <c r="G8" s="9">
        <v>0.13500000000000001</v>
      </c>
      <c r="H8" s="12">
        <f>F8*G8</f>
        <v>14.850000000000001</v>
      </c>
      <c r="I8" s="6">
        <f>F8+H8</f>
        <v>124.85</v>
      </c>
      <c r="J8" s="1">
        <f>1*8</f>
        <v>8</v>
      </c>
      <c r="K8" s="6">
        <f>I8*J8</f>
        <v>998.8</v>
      </c>
      <c r="M8" s="13">
        <v>0.3</v>
      </c>
      <c r="N8" s="6">
        <f>K8*M8</f>
        <v>299.64</v>
      </c>
      <c r="O8" s="4">
        <f>K8+N8</f>
        <v>1298.44</v>
      </c>
    </row>
    <row r="9" spans="1:15" x14ac:dyDescent="0.25">
      <c r="A9" s="1">
        <v>7</v>
      </c>
    </row>
    <row r="11" spans="1:15" x14ac:dyDescent="0.25">
      <c r="B11" s="17" t="s">
        <v>26</v>
      </c>
    </row>
    <row r="12" spans="1:15" x14ac:dyDescent="0.25">
      <c r="B12" s="17" t="s">
        <v>27</v>
      </c>
    </row>
  </sheetData>
  <mergeCells count="2">
    <mergeCell ref="G1:H1"/>
    <mergeCell ref="M1:N1"/>
  </mergeCells>
  <hyperlinks>
    <hyperlink ref="L6" r:id="rId1" display="https://www.dj-solutions.ie/store-category/hardware/19-rack-cabinets/" xr:uid="{4DACE778-3E2C-4405-B493-EC903245F9EE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- Racks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ORaw</dc:creator>
  <cp:lastModifiedBy>John ORaw</cp:lastModifiedBy>
  <dcterms:created xsi:type="dcterms:W3CDTF">2025-11-05T10:53:03Z</dcterms:created>
  <dcterms:modified xsi:type="dcterms:W3CDTF">2025-11-05T11:36:13Z</dcterms:modified>
</cp:coreProperties>
</file>