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ricart\Desktop\ATU\Networking CA1\Brouillon\"/>
    </mc:Choice>
  </mc:AlternateContent>
  <xr:revisionPtr revIDLastSave="0" documentId="13_ncr:1_{A805B751-7FB1-46CD-9F29-235A2FB6E2A0}" xr6:coauthVersionLast="47" xr6:coauthVersionMax="47" xr10:uidLastSave="{00000000-0000-0000-0000-000000000000}"/>
  <bookViews>
    <workbookView xWindow="28680" yWindow="-345" windowWidth="29040" windowHeight="15720" xr2:uid="{5CA786FF-CE75-4683-ABD0-4D280CAACA1F}"/>
  </bookViews>
  <sheets>
    <sheet name="Bill of mate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L3" i="1" s="1"/>
  <c r="J4" i="1"/>
  <c r="J5" i="1"/>
  <c r="J6" i="1"/>
  <c r="K6" i="1" s="1"/>
  <c r="L6" i="1" s="1"/>
  <c r="J7" i="1"/>
  <c r="K7" i="1"/>
  <c r="L7" i="1" s="1"/>
  <c r="K5" i="1"/>
  <c r="L5" i="1" s="1"/>
  <c r="K4" i="1"/>
  <c r="L4" i="1" s="1"/>
  <c r="L8" i="1" l="1"/>
</calcChain>
</file>

<file path=xl/sharedStrings.xml><?xml version="1.0" encoding="utf-8"?>
<sst xmlns="http://schemas.openxmlformats.org/spreadsheetml/2006/main" count="34" uniqueCount="31">
  <si>
    <t>Item</t>
  </si>
  <si>
    <t>Description</t>
  </si>
  <si>
    <t>Power Distribution Unit</t>
  </si>
  <si>
    <t>Manufacturer</t>
  </si>
  <si>
    <t xml:space="preserve">Make </t>
  </si>
  <si>
    <t>Model</t>
  </si>
  <si>
    <t>APC</t>
  </si>
  <si>
    <t>Quantity</t>
  </si>
  <si>
    <t>Price Net</t>
  </si>
  <si>
    <t>Gross</t>
  </si>
  <si>
    <t>Total</t>
  </si>
  <si>
    <t>Uninterruptable Power Suply</t>
  </si>
  <si>
    <t>Smart UPS</t>
  </si>
  <si>
    <t>Equipement Rack</t>
  </si>
  <si>
    <t>ER</t>
  </si>
  <si>
    <t>Labour - Installers</t>
  </si>
  <si>
    <t>T&amp;L Charged at cost</t>
  </si>
  <si>
    <t>Labour - Consultant</t>
  </si>
  <si>
    <t>Quote Valid 30 days from issue</t>
  </si>
  <si>
    <t>Information</t>
  </si>
  <si>
    <t>https://www.elara.ie/productdetail.aspx?manufacturer=APC&amp;mancode=SBP1500RMI</t>
  </si>
  <si>
    <t>SBP1500RMI</t>
  </si>
  <si>
    <t>SPB</t>
  </si>
  <si>
    <t>SRT3000RMXLI-NC</t>
  </si>
  <si>
    <t xml:space="preserve">https://www.elara.ie/productdetail.aspx?manufacturer=APC&amp;mancode=SRT3000RMXLI-NC </t>
  </si>
  <si>
    <t>https://www.elara.ie/productdetail.aspx?manufacturer=APC&amp;mancode=AR3104</t>
  </si>
  <si>
    <t>N/A</t>
  </si>
  <si>
    <t>VAT Rate</t>
  </si>
  <si>
    <t>VAT Amount</t>
  </si>
  <si>
    <t>AR3104</t>
  </si>
  <si>
    <t>Total Price (E&amp;OE)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</si>
</sst>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83C]#,##0.00"/>
    <numFmt numFmtId="165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1" xfId="2" applyBorder="1"/>
    <xf numFmtId="164" fontId="2" fillId="3" borderId="1" xfId="2" applyNumberFormat="1" applyBorder="1"/>
    <xf numFmtId="165" fontId="2" fillId="3" borderId="1" xfId="2" applyNumberFormat="1" applyBorder="1"/>
    <xf numFmtId="0" fontId="2" fillId="3" borderId="2" xfId="2" applyBorder="1"/>
    <xf numFmtId="164" fontId="2" fillId="3" borderId="2" xfId="2" applyNumberFormat="1" applyBorder="1"/>
    <xf numFmtId="165" fontId="2" fillId="3" borderId="2" xfId="2" applyNumberFormat="1" applyBorder="1"/>
    <xf numFmtId="0" fontId="2" fillId="3" borderId="7" xfId="2" applyBorder="1"/>
    <xf numFmtId="0" fontId="2" fillId="3" borderId="8" xfId="2" applyBorder="1"/>
    <xf numFmtId="0" fontId="2" fillId="3" borderId="9" xfId="2" applyBorder="1"/>
    <xf numFmtId="0" fontId="3" fillId="2" borderId="10" xfId="1" applyBorder="1"/>
    <xf numFmtId="0" fontId="3" fillId="2" borderId="6" xfId="1" applyBorder="1"/>
    <xf numFmtId="164" fontId="3" fillId="2" borderId="6" xfId="1" applyNumberFormat="1" applyBorder="1"/>
    <xf numFmtId="165" fontId="3" fillId="2" borderId="6" xfId="1" applyNumberFormat="1" applyBorder="1"/>
    <xf numFmtId="164" fontId="1" fillId="5" borderId="6" xfId="1" applyNumberFormat="1" applyFont="1" applyFill="1" applyBorder="1"/>
    <xf numFmtId="0" fontId="3" fillId="2" borderId="11" xfId="1" applyBorder="1"/>
    <xf numFmtId="164" fontId="0" fillId="0" borderId="0" xfId="0" applyNumberFormat="1"/>
    <xf numFmtId="165" fontId="0" fillId="0" borderId="0" xfId="0" applyNumberFormat="1"/>
    <xf numFmtId="0" fontId="4" fillId="3" borderId="9" xfId="4" applyFill="1" applyBorder="1"/>
    <xf numFmtId="0" fontId="1" fillId="4" borderId="3" xfId="3" applyFont="1" applyBorder="1" applyAlignment="1">
      <alignment horizontal="center" textRotation="90"/>
    </xf>
    <xf numFmtId="0" fontId="1" fillId="4" borderId="4" xfId="3" applyFont="1" applyBorder="1" applyAlignment="1">
      <alignment horizontal="center" textRotation="90"/>
    </xf>
    <xf numFmtId="0" fontId="1" fillId="4" borderId="5" xfId="3" applyFont="1" applyBorder="1" applyAlignment="1">
      <alignment horizontal="center" textRotation="90"/>
    </xf>
    <xf numFmtId="0" fontId="2" fillId="2" borderId="12" xfId="1" applyFont="1" applyBorder="1"/>
    <xf numFmtId="0" fontId="2" fillId="2" borderId="13" xfId="1" applyFont="1" applyBorder="1"/>
  </cellXfs>
  <cellStyles count="5">
    <cellStyle name="20% - Accent3" xfId="2" builtinId="38"/>
    <cellStyle name="60% - Accent3" xfId="3" builtinId="40"/>
    <cellStyle name="Good" xfId="1" builtinId="2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ara.ie/productdetail.aspx?manufacturer=APC&amp;mancode=AR3104" TargetMode="External"/><Relationship Id="rId2" Type="http://schemas.openxmlformats.org/officeDocument/2006/relationships/hyperlink" Target="https://www.elara.ie/productdetail.aspx?manufacturer=APC&amp;mancode=SRT3000RMXLI-NC" TargetMode="External"/><Relationship Id="rId1" Type="http://schemas.openxmlformats.org/officeDocument/2006/relationships/hyperlink" Target="https://www.elara.ie/productdetail.aspx?manufacturer=APC&amp;mancode=SBP1500R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69C1-6D05-483D-9304-55FEC0C042FC}">
  <dimension ref="B1:M10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5" x14ac:dyDescent="0.25"/>
  <cols>
    <col min="2" max="2" width="3.7109375" bestFit="1" customWidth="1"/>
    <col min="3" max="3" width="28.7109375" bestFit="1" customWidth="1"/>
    <col min="4" max="4" width="4.5703125" bestFit="1" customWidth="1"/>
    <col min="5" max="5" width="10" bestFit="1" customWidth="1"/>
    <col min="6" max="6" width="17" bestFit="1" customWidth="1"/>
    <col min="7" max="7" width="3.7109375" bestFit="1" customWidth="1"/>
    <col min="8" max="8" width="9.140625" bestFit="1" customWidth="1"/>
    <col min="9" max="9" width="6.140625" bestFit="1" customWidth="1"/>
    <col min="10" max="10" width="7.5703125" bestFit="1" customWidth="1"/>
    <col min="11" max="11" width="17.42578125" bestFit="1" customWidth="1"/>
    <col min="12" max="12" width="10.140625" bestFit="1" customWidth="1"/>
    <col min="13" max="13" width="84.28515625" bestFit="1" customWidth="1"/>
  </cols>
  <sheetData>
    <row r="1" spans="2:13" ht="15.75" thickBot="1" x14ac:dyDescent="0.3"/>
    <row r="2" spans="2:13" ht="70.5" thickBot="1" x14ac:dyDescent="0.3">
      <c r="B2" s="19" t="s">
        <v>0</v>
      </c>
      <c r="C2" s="20" t="s">
        <v>1</v>
      </c>
      <c r="D2" s="20" t="s">
        <v>3</v>
      </c>
      <c r="E2" s="20" t="s">
        <v>4</v>
      </c>
      <c r="F2" s="20" t="s">
        <v>5</v>
      </c>
      <c r="G2" s="20" t="s">
        <v>7</v>
      </c>
      <c r="H2" s="20" t="s">
        <v>8</v>
      </c>
      <c r="I2" s="20" t="s">
        <v>27</v>
      </c>
      <c r="J2" s="20" t="s">
        <v>28</v>
      </c>
      <c r="K2" s="20" t="s">
        <v>9</v>
      </c>
      <c r="L2" s="20" t="s">
        <v>10</v>
      </c>
      <c r="M2" s="21" t="s">
        <v>19</v>
      </c>
    </row>
    <row r="3" spans="2:13" x14ac:dyDescent="0.25">
      <c r="B3" s="7">
        <v>1</v>
      </c>
      <c r="C3" s="4" t="s">
        <v>2</v>
      </c>
      <c r="D3" s="4" t="s">
        <v>6</v>
      </c>
      <c r="E3" s="4" t="s">
        <v>22</v>
      </c>
      <c r="F3" s="4" t="s">
        <v>21</v>
      </c>
      <c r="G3" s="4">
        <v>3</v>
      </c>
      <c r="H3" s="5">
        <v>333.13</v>
      </c>
      <c r="I3" s="6">
        <v>0.23</v>
      </c>
      <c r="J3" s="5">
        <f>I3*H3</f>
        <v>76.619900000000001</v>
      </c>
      <c r="K3" s="5">
        <f>J3+H3</f>
        <v>409.74990000000003</v>
      </c>
      <c r="L3" s="5">
        <f>K3*G3</f>
        <v>1229.2497000000001</v>
      </c>
      <c r="M3" s="18" t="s">
        <v>20</v>
      </c>
    </row>
    <row r="4" spans="2:13" x14ac:dyDescent="0.25">
      <c r="B4" s="8">
        <v>2</v>
      </c>
      <c r="C4" s="1" t="s">
        <v>11</v>
      </c>
      <c r="D4" s="1" t="s">
        <v>6</v>
      </c>
      <c r="E4" s="1" t="s">
        <v>12</v>
      </c>
      <c r="F4" s="1" t="s">
        <v>23</v>
      </c>
      <c r="G4" s="1">
        <v>6</v>
      </c>
      <c r="H4" s="2">
        <v>3520.12</v>
      </c>
      <c r="I4" s="3">
        <v>0.23</v>
      </c>
      <c r="J4" s="2">
        <f>I4*H4</f>
        <v>809.62760000000003</v>
      </c>
      <c r="K4" s="2">
        <f>J4+H4</f>
        <v>4329.7475999999997</v>
      </c>
      <c r="L4" s="2">
        <f>K4*G4</f>
        <v>25978.4856</v>
      </c>
      <c r="M4" s="18" t="s">
        <v>24</v>
      </c>
    </row>
    <row r="5" spans="2:13" x14ac:dyDescent="0.25">
      <c r="B5" s="8">
        <v>3</v>
      </c>
      <c r="C5" s="1" t="s">
        <v>13</v>
      </c>
      <c r="D5" s="1" t="s">
        <v>6</v>
      </c>
      <c r="E5" s="1" t="s">
        <v>14</v>
      </c>
      <c r="F5" s="1" t="s">
        <v>29</v>
      </c>
      <c r="G5" s="1">
        <v>3</v>
      </c>
      <c r="H5" s="2">
        <v>1333.13</v>
      </c>
      <c r="I5" s="3">
        <v>0.23</v>
      </c>
      <c r="J5" s="2">
        <f>I5*H5</f>
        <v>306.61990000000003</v>
      </c>
      <c r="K5" s="2">
        <f>J5+H5</f>
        <v>1639.7499000000003</v>
      </c>
      <c r="L5" s="2">
        <f>K5*G5</f>
        <v>4919.2497000000003</v>
      </c>
      <c r="M5" s="18" t="s">
        <v>25</v>
      </c>
    </row>
    <row r="6" spans="2:13" x14ac:dyDescent="0.25">
      <c r="B6" s="8">
        <v>4</v>
      </c>
      <c r="C6" s="1" t="s">
        <v>15</v>
      </c>
      <c r="D6" s="1"/>
      <c r="E6" s="1"/>
      <c r="F6" s="1"/>
      <c r="G6" s="1">
        <v>16</v>
      </c>
      <c r="H6" s="2">
        <v>1333</v>
      </c>
      <c r="I6" s="3">
        <v>0.13500000000000001</v>
      </c>
      <c r="J6" s="2">
        <f>I6*H6</f>
        <v>179.95500000000001</v>
      </c>
      <c r="K6" s="2">
        <f>J6+H6</f>
        <v>1512.9549999999999</v>
      </c>
      <c r="L6" s="2">
        <f>K6*G6</f>
        <v>24207.279999999999</v>
      </c>
      <c r="M6" s="9" t="s">
        <v>26</v>
      </c>
    </row>
    <row r="7" spans="2:13" x14ac:dyDescent="0.25">
      <c r="B7" s="8">
        <v>5</v>
      </c>
      <c r="C7" s="1" t="s">
        <v>17</v>
      </c>
      <c r="D7" s="1"/>
      <c r="E7" s="1"/>
      <c r="F7" s="1"/>
      <c r="G7" s="1">
        <v>8</v>
      </c>
      <c r="H7" s="2">
        <v>1333</v>
      </c>
      <c r="I7" s="3">
        <v>0.13500000000000001</v>
      </c>
      <c r="J7" s="2">
        <f>I7*H7</f>
        <v>179.95500000000001</v>
      </c>
      <c r="K7" s="2">
        <f>J7+H7</f>
        <v>1512.9549999999999</v>
      </c>
      <c r="L7" s="2">
        <f>K7*G7</f>
        <v>12103.64</v>
      </c>
      <c r="M7" s="9" t="s">
        <v>26</v>
      </c>
    </row>
    <row r="8" spans="2:13" ht="15.75" thickBot="1" x14ac:dyDescent="0.3">
      <c r="B8" s="10"/>
      <c r="C8" s="11"/>
      <c r="D8" s="11"/>
      <c r="E8" s="11"/>
      <c r="F8" s="11"/>
      <c r="G8" s="11"/>
      <c r="H8" s="12"/>
      <c r="I8" s="13"/>
      <c r="J8" s="12"/>
      <c r="K8" s="14" t="s">
        <v>30</v>
      </c>
      <c r="L8" s="14">
        <f>SUM(L3:L7)</f>
        <v>68437.904999999999</v>
      </c>
      <c r="M8" s="15"/>
    </row>
    <row r="9" spans="2:13" x14ac:dyDescent="0.25">
      <c r="C9" s="22" t="s">
        <v>16</v>
      </c>
      <c r="H9" s="16"/>
      <c r="I9" s="17"/>
      <c r="J9" s="16"/>
      <c r="K9" s="16"/>
      <c r="L9" s="16"/>
    </row>
    <row r="10" spans="2:13" ht="15.75" thickBot="1" x14ac:dyDescent="0.3">
      <c r="C10" s="23" t="s">
        <v>18</v>
      </c>
    </row>
  </sheetData>
  <hyperlinks>
    <hyperlink ref="M3" r:id="rId1" xr:uid="{4EB963C9-543F-484A-B09B-E6BA16E509EE}"/>
    <hyperlink ref="M4" r:id="rId2" xr:uid="{E0EA01C0-C162-4E75-AB62-E658532BF741}"/>
    <hyperlink ref="M5" r:id="rId3" xr:uid="{1DF65131-2440-4E2E-B562-48FBB80DC1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ricart</dc:creator>
  <cp:lastModifiedBy>Quentin Ricart</cp:lastModifiedBy>
  <dcterms:created xsi:type="dcterms:W3CDTF">2026-01-29T18:37:28Z</dcterms:created>
  <dcterms:modified xsi:type="dcterms:W3CDTF">2026-02-03T20:57:40Z</dcterms:modified>
</cp:coreProperties>
</file>