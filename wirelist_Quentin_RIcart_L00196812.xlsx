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ricart\Desktop\ATU\Networking CA1\Brouillon\"/>
    </mc:Choice>
  </mc:AlternateContent>
  <xr:revisionPtr revIDLastSave="0" documentId="13_ncr:1_{661AF59D-A102-44A1-89BF-1DCEA27A9C70}" xr6:coauthVersionLast="47" xr6:coauthVersionMax="47" xr10:uidLastSave="{00000000-0000-0000-0000-000000000000}"/>
  <bookViews>
    <workbookView xWindow="-120" yWindow="-120" windowWidth="29040" windowHeight="15720" activeTab="4" xr2:uid="{193D8A1E-66B5-4099-9811-34CB9368E2A0}"/>
  </bookViews>
  <sheets>
    <sheet name="Summary" sheetId="1" r:id="rId1"/>
    <sheet name="FD1A" sheetId="2" r:id="rId2"/>
    <sheet name="FD1B" sheetId="3" r:id="rId3"/>
    <sheet name="BD1" sheetId="4" r:id="rId4"/>
    <sheet name="CD" sheetId="5" r:id="rId5"/>
  </sheets>
  <definedNames>
    <definedName name="total1000mb">FD1A!$L$15</definedName>
    <definedName name="total100mb">FD1A!$K$15</definedName>
    <definedName name="total100Mb1f">FD1B!$K$18</definedName>
    <definedName name="total10mb">FD1A!$J$15</definedName>
    <definedName name="total10Mb1f">FD1B!$J$18</definedName>
    <definedName name="total1Gb1f">FD1B!$L$18</definedName>
    <definedName name="totalCAT6">FD1A!$H$15</definedName>
    <definedName name="totalCAT61F">FD1B!$H$18</definedName>
    <definedName name="totalCAT6GF">FD1A!$H$15</definedName>
    <definedName name="totalCD">CD!$I$26</definedName>
    <definedName name="totalMMF">CD!$H$13</definedName>
    <definedName name="totalPOTS">FD1A!$M$15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5" l="1"/>
  <c r="L2" i="5"/>
  <c r="L4" i="5" s="1"/>
  <c r="L16" i="5"/>
  <c r="L17" i="5" s="1"/>
  <c r="L13" i="5"/>
  <c r="L7" i="5"/>
  <c r="L8" i="5" s="1"/>
  <c r="I26" i="5"/>
  <c r="H13" i="5"/>
  <c r="P21" i="3"/>
  <c r="P20" i="3"/>
  <c r="P19" i="3"/>
  <c r="P12" i="3" a="1"/>
  <c r="P12" i="3" s="1"/>
  <c r="P17" i="3" s="1"/>
  <c r="H18" i="3"/>
  <c r="P3" i="3" s="1"/>
  <c r="P5" i="3" s="1"/>
  <c r="P10" i="3" s="1"/>
  <c r="P27" i="3"/>
  <c r="P28" i="3" s="1"/>
  <c r="P15" i="3"/>
  <c r="P16" i="3" s="1"/>
  <c r="P9" i="3"/>
  <c r="P8" i="3"/>
  <c r="M18" i="3"/>
  <c r="L18" i="3"/>
  <c r="K18" i="3"/>
  <c r="J18" i="3"/>
  <c r="D15" i="3"/>
  <c r="D16" i="3"/>
  <c r="D17" i="3"/>
  <c r="D12" i="2"/>
  <c r="D13" i="2"/>
  <c r="D14" i="2"/>
  <c r="G15" i="5"/>
  <c r="G16" i="5"/>
  <c r="G17" i="5"/>
  <c r="G18" i="5"/>
  <c r="G19" i="5"/>
  <c r="G20" i="5"/>
  <c r="G21" i="5"/>
  <c r="G22" i="5"/>
  <c r="G23" i="5"/>
  <c r="G24" i="5"/>
  <c r="G25" i="5"/>
  <c r="F15" i="5"/>
  <c r="F16" i="5"/>
  <c r="F17" i="5"/>
  <c r="F18" i="5"/>
  <c r="F19" i="5"/>
  <c r="F20" i="5"/>
  <c r="F21" i="5"/>
  <c r="F22" i="5"/>
  <c r="F23" i="5"/>
  <c r="F24" i="5"/>
  <c r="F25" i="5"/>
  <c r="F11" i="5"/>
  <c r="G11" i="5"/>
  <c r="F12" i="5"/>
  <c r="G12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G2" i="5"/>
  <c r="F2" i="5"/>
  <c r="K2" i="4"/>
  <c r="K7" i="4"/>
  <c r="K8" i="4" s="1"/>
  <c r="K4" i="4"/>
  <c r="K9" i="4" s="1"/>
  <c r="H4" i="4"/>
  <c r="G3" i="4"/>
  <c r="F3" i="4"/>
  <c r="G2" i="4"/>
  <c r="F2" i="4"/>
  <c r="P27" i="2"/>
  <c r="P28" i="2" s="1"/>
  <c r="J15" i="2"/>
  <c r="P19" i="2" s="1"/>
  <c r="K15" i="2"/>
  <c r="P20" i="2" s="1"/>
  <c r="L15" i="2"/>
  <c r="P21" i="2" s="1"/>
  <c r="M15" i="2"/>
  <c r="P12" i="2" a="1"/>
  <c r="P12" i="2" s="1"/>
  <c r="P15" i="2"/>
  <c r="P16" i="2" s="1"/>
  <c r="P8" i="2"/>
  <c r="P9" i="2" s="1"/>
  <c r="H15" i="2"/>
  <c r="P3" i="2" s="1"/>
  <c r="P5" i="2" s="1"/>
  <c r="D14" i="3"/>
  <c r="D13" i="3"/>
  <c r="D12" i="3"/>
  <c r="D11" i="3"/>
  <c r="D10" i="3"/>
  <c r="D9" i="3"/>
  <c r="D8" i="3"/>
  <c r="D7" i="3"/>
  <c r="D6" i="3"/>
  <c r="D5" i="3"/>
  <c r="D4" i="3"/>
  <c r="D3" i="3"/>
  <c r="D9" i="2"/>
  <c r="D10" i="2"/>
  <c r="D11" i="2"/>
  <c r="D6" i="2"/>
  <c r="D7" i="2"/>
  <c r="D8" i="2"/>
  <c r="D5" i="2"/>
  <c r="D4" i="2"/>
  <c r="D3" i="2"/>
  <c r="L18" i="5" l="1"/>
  <c r="L9" i="5"/>
  <c r="P22" i="3"/>
  <c r="P24" i="3" s="1"/>
  <c r="P29" i="3" s="1"/>
  <c r="P22" i="2"/>
  <c r="P24" i="2" s="1"/>
  <c r="P29" i="2" s="1"/>
  <c r="P10" i="2"/>
  <c r="P1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<sst xmlns="http://schemas.openxmlformats.org/spreadsheetml/2006/main" count="305" uniqueCount="117">
  <si>
    <t>Site</t>
  </si>
  <si>
    <t>Buildings</t>
  </si>
  <si>
    <t>Floor</t>
  </si>
  <si>
    <t>A</t>
  </si>
  <si>
    <t>B</t>
  </si>
  <si>
    <t>Forecourt</t>
  </si>
  <si>
    <t>Supermarket</t>
  </si>
  <si>
    <t>Building</t>
  </si>
  <si>
    <t>Index</t>
  </si>
  <si>
    <t>001</t>
  </si>
  <si>
    <t>Label</t>
  </si>
  <si>
    <t>Location</t>
  </si>
  <si>
    <t>Counter</t>
  </si>
  <si>
    <t>002</t>
  </si>
  <si>
    <t>Symbol</t>
  </si>
  <si>
    <t>POS</t>
  </si>
  <si>
    <t>Function</t>
  </si>
  <si>
    <t>Length</t>
  </si>
  <si>
    <t>POS 1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</si>
  <si>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</si>
  <si>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</si>
  <si>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</si>
  <si>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</si>
  <si>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</si>
  <si>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</si>
  <si>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</si>
  <si>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</si>
  <si>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</si>
  <si>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</si>
  <si>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POS 2</t>
  </si>
  <si>
    <t>Ceiling</t>
  </si>
  <si>
    <t>CCTV 1</t>
  </si>
  <si>
    <t>CCTV 2</t>
  </si>
  <si>
    <t>AP</t>
  </si>
  <si>
    <t>Wifi</t>
  </si>
  <si>
    <t>Office</t>
  </si>
  <si>
    <t>FA</t>
  </si>
  <si>
    <t>BA</t>
  </si>
  <si>
    <t>Office Ceiling</t>
  </si>
  <si>
    <t>CC Machine</t>
  </si>
  <si>
    <t>CC</t>
  </si>
  <si>
    <t>Counter Ceiling</t>
  </si>
  <si>
    <t>Fire alarm</t>
  </si>
  <si>
    <t>Burglar alarm</t>
  </si>
  <si>
    <t>Computer</t>
  </si>
  <si>
    <t>Phone</t>
  </si>
  <si>
    <t>Total Cable</t>
  </si>
  <si>
    <t>Total CAT6</t>
  </si>
  <si>
    <t>Box</t>
  </si>
  <si>
    <t>No of boxes</t>
  </si>
  <si>
    <t>Net per box</t>
  </si>
  <si>
    <t>VAT rate</t>
  </si>
  <si>
    <t>VAT amount</t>
  </si>
  <si>
    <t>Gross</t>
  </si>
  <si>
    <t>Total price CAT6</t>
  </si>
  <si>
    <t>Test and Service</t>
  </si>
  <si>
    <t>Slow Charge</t>
  </si>
  <si>
    <t>Battery Building 1</t>
  </si>
  <si>
    <t>Battery Building 2</t>
  </si>
  <si>
    <t>Substation 1</t>
  </si>
  <si>
    <t>Substation 2</t>
  </si>
  <si>
    <t>Car wash</t>
  </si>
  <si>
    <t>Switch</t>
  </si>
  <si>
    <t>POTS</t>
  </si>
  <si>
    <t>Total TO</t>
  </si>
  <si>
    <t>Net per TO</t>
  </si>
  <si>
    <t>Total price TO</t>
  </si>
  <si>
    <t>10Mb/s</t>
  </si>
  <si>
    <t>100Mb/s</t>
  </si>
  <si>
    <t>1Gb/s</t>
  </si>
  <si>
    <t>Total Network Port</t>
  </si>
  <si>
    <t>Port per Switch</t>
  </si>
  <si>
    <t>Switches require</t>
  </si>
  <si>
    <t>Net per switch</t>
  </si>
  <si>
    <t>Total price switch</t>
  </si>
  <si>
    <t>From</t>
  </si>
  <si>
    <t>To</t>
  </si>
  <si>
    <t>1A</t>
  </si>
  <si>
    <t>1B</t>
  </si>
  <si>
    <t>Cable Number</t>
  </si>
  <si>
    <t>Type</t>
  </si>
  <si>
    <t>MMF</t>
  </si>
  <si>
    <t>Cores</t>
  </si>
  <si>
    <t>Pairs</t>
  </si>
  <si>
    <t>Cable</t>
  </si>
  <si>
    <t xml:space="preserve">Total </t>
  </si>
  <si>
    <t>Length MMF</t>
  </si>
  <si>
    <t>CD</t>
  </si>
  <si>
    <t>Balance cable</t>
  </si>
  <si>
    <t>Length BC</t>
  </si>
  <si>
    <t>013</t>
  </si>
  <si>
    <t>014</t>
  </si>
  <si>
    <t>Ground floor ceiling</t>
  </si>
  <si>
    <t>C</t>
  </si>
  <si>
    <t>O</t>
  </si>
  <si>
    <t>CCTV 3</t>
  </si>
  <si>
    <t>CCTV 4</t>
  </si>
  <si>
    <t>Ground floor entrance</t>
  </si>
  <si>
    <t>First floor ceiling</t>
  </si>
  <si>
    <t>First floor stairs</t>
  </si>
  <si>
    <t>Main Hall Ceiling</t>
  </si>
  <si>
    <t>Area A1</t>
  </si>
  <si>
    <t>Area A2</t>
  </si>
  <si>
    <t>Area A3</t>
  </si>
  <si>
    <t>Area A4</t>
  </si>
  <si>
    <t>Area A5</t>
  </si>
  <si>
    <t>Area A6</t>
  </si>
  <si>
    <t>Area A7</t>
  </si>
  <si>
    <t>Area A8</t>
  </si>
  <si>
    <t>Area A9</t>
  </si>
  <si>
    <t>Area A10</t>
  </si>
  <si>
    <t>015</t>
  </si>
  <si>
    <t>Seating Area</t>
  </si>
  <si>
    <t>Total cable</t>
  </si>
  <si>
    <t xml:space="preserve">Total Cable </t>
  </si>
  <si>
    <t>Total MMF</t>
  </si>
  <si>
    <t>Total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</si>
</sst>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83C]#,##0.00"/>
    <numFmt numFmtId="167" formatCode="0&quot; m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39997558519241921"/>
        <bgColor indexed="65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/>
    <xf numFmtId="0" fontId="4" fillId="3" borderId="2" xfId="2" applyFont="1" applyBorder="1" applyAlignment="1">
      <alignment textRotation="90"/>
    </xf>
    <xf numFmtId="0" fontId="3" fillId="2" borderId="2" xfId="1" applyBorder="1"/>
    <xf numFmtId="0" fontId="4" fillId="3" borderId="2" xfId="2" applyFont="1" applyBorder="1"/>
    <xf numFmtId="167" fontId="3" fillId="2" borderId="2" xfId="1" applyNumberFormat="1" applyBorder="1"/>
    <xf numFmtId="164" fontId="3" fillId="2" borderId="2" xfId="1" applyNumberFormat="1" applyBorder="1"/>
    <xf numFmtId="9" fontId="3" fillId="2" borderId="2" xfId="1" applyNumberFormat="1" applyBorder="1"/>
    <xf numFmtId="0" fontId="1" fillId="3" borderId="2" xfId="2" applyBorder="1"/>
    <xf numFmtId="0" fontId="1" fillId="3" borderId="2" xfId="2" applyBorder="1" applyAlignment="1">
      <alignment horizontal="center"/>
    </xf>
    <xf numFmtId="0" fontId="3" fillId="2" borderId="2" xfId="1" quotePrefix="1" applyBorder="1"/>
    <xf numFmtId="0" fontId="4" fillId="3" borderId="2" xfId="2" applyFont="1" applyBorder="1" applyAlignment="1">
      <alignment vertical="center"/>
    </xf>
    <xf numFmtId="0" fontId="4" fillId="3" borderId="2" xfId="2" applyFont="1" applyBorder="1" applyAlignment="1">
      <alignment horizontal="center" vertical="center"/>
    </xf>
    <xf numFmtId="0" fontId="4" fillId="3" borderId="2" xfId="2" applyFont="1" applyBorder="1" applyAlignment="1">
      <alignment horizontal="center" vertical="center" textRotation="90"/>
    </xf>
    <xf numFmtId="0" fontId="4" fillId="3" borderId="2" xfId="2" applyFont="1" applyBorder="1" applyAlignment="1">
      <alignment horizontal="center" vertical="center"/>
    </xf>
    <xf numFmtId="0" fontId="4" fillId="3" borderId="3" xfId="2" applyFont="1" applyBorder="1"/>
    <xf numFmtId="164" fontId="3" fillId="2" borderId="3" xfId="1" applyNumberFormat="1" applyBorder="1"/>
    <xf numFmtId="0" fontId="3" fillId="2" borderId="3" xfId="1" applyBorder="1"/>
    <xf numFmtId="0" fontId="3" fillId="2" borderId="2" xfId="1" applyBorder="1" applyAlignment="1">
      <alignment horizontal="center"/>
    </xf>
    <xf numFmtId="0" fontId="4" fillId="3" borderId="2" xfId="2" applyFont="1" applyBorder="1" applyAlignment="1">
      <alignment horizontal="center"/>
    </xf>
    <xf numFmtId="0" fontId="4" fillId="3" borderId="2" xfId="2" applyFont="1" applyBorder="1" applyAlignment="1">
      <alignment horizontal="center"/>
    </xf>
    <xf numFmtId="167" fontId="3" fillId="2" borderId="3" xfId="1" applyNumberFormat="1" applyBorder="1"/>
    <xf numFmtId="0" fontId="0" fillId="4" borderId="6" xfId="0" applyFill="1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167" fontId="4" fillId="4" borderId="5" xfId="0" applyNumberFormat="1" applyFont="1" applyFill="1" applyBorder="1"/>
    <xf numFmtId="0" fontId="5" fillId="2" borderId="5" xfId="1" applyFont="1" applyBorder="1"/>
    <xf numFmtId="0" fontId="4" fillId="3" borderId="4" xfId="2" applyFont="1" applyBorder="1"/>
    <xf numFmtId="164" fontId="5" fillId="2" borderId="6" xfId="1" applyNumberFormat="1" applyFont="1" applyBorder="1"/>
    <xf numFmtId="0" fontId="0" fillId="0" borderId="1" xfId="0" applyBorder="1"/>
    <xf numFmtId="0" fontId="3" fillId="2" borderId="5" xfId="1" applyBorder="1"/>
  </cellXfs>
  <cellStyles count="3">
    <cellStyle name="60% - Accent3" xfId="2" builtinId="40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F0B0-B017-4D38-AC53-9084470ECC17}">
  <dimension ref="A1:K5"/>
  <sheetViews>
    <sheetView workbookViewId="0">
      <selection activeCell="D9" sqref="D9"/>
    </sheetView>
  </sheetViews>
  <sheetFormatPr defaultRowHeight="15" x14ac:dyDescent="0.25"/>
  <sheetData>
    <row r="1" spans="1:11" x14ac:dyDescent="0.25">
      <c r="A1" s="13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87.75" x14ac:dyDescent="0.25">
      <c r="A2" s="14"/>
      <c r="B2" s="15" t="s">
        <v>5</v>
      </c>
      <c r="C2" s="15" t="s">
        <v>6</v>
      </c>
      <c r="D2" s="15" t="s">
        <v>55</v>
      </c>
      <c r="E2" s="15" t="s">
        <v>56</v>
      </c>
      <c r="F2" s="15" t="s">
        <v>57</v>
      </c>
      <c r="G2" s="15" t="s">
        <v>58</v>
      </c>
      <c r="H2" s="15" t="s">
        <v>58</v>
      </c>
      <c r="I2" s="15" t="s">
        <v>59</v>
      </c>
      <c r="J2" s="15" t="s">
        <v>60</v>
      </c>
      <c r="K2" s="15" t="s">
        <v>61</v>
      </c>
    </row>
    <row r="3" spans="1:11" x14ac:dyDescent="0.25">
      <c r="A3" s="13" t="s">
        <v>1</v>
      </c>
      <c r="B3" s="20">
        <v>1</v>
      </c>
      <c r="C3" s="20">
        <v>2</v>
      </c>
      <c r="D3" s="20">
        <v>3</v>
      </c>
      <c r="E3" s="20">
        <v>4</v>
      </c>
      <c r="F3" s="20">
        <v>5</v>
      </c>
      <c r="G3" s="20">
        <v>6</v>
      </c>
      <c r="H3" s="20">
        <v>7</v>
      </c>
      <c r="I3" s="20">
        <v>8</v>
      </c>
      <c r="J3" s="20">
        <v>9</v>
      </c>
      <c r="K3" s="20">
        <v>10</v>
      </c>
    </row>
    <row r="4" spans="1:11" x14ac:dyDescent="0.25">
      <c r="A4" s="16" t="s">
        <v>2</v>
      </c>
      <c r="B4" s="20" t="s">
        <v>3</v>
      </c>
      <c r="C4" s="20" t="s">
        <v>3</v>
      </c>
      <c r="D4" s="20" t="s">
        <v>3</v>
      </c>
      <c r="E4" s="20" t="s">
        <v>3</v>
      </c>
      <c r="F4" s="20" t="s">
        <v>3</v>
      </c>
      <c r="G4" s="20" t="s">
        <v>3</v>
      </c>
      <c r="H4" s="20" t="s">
        <v>3</v>
      </c>
      <c r="I4" s="20" t="s">
        <v>3</v>
      </c>
      <c r="J4" s="20" t="s">
        <v>3</v>
      </c>
      <c r="K4" s="20" t="s">
        <v>3</v>
      </c>
    </row>
    <row r="5" spans="1:11" x14ac:dyDescent="0.25">
      <c r="A5" s="16"/>
      <c r="B5" s="20" t="s">
        <v>4</v>
      </c>
      <c r="C5" s="20"/>
      <c r="D5" s="20"/>
      <c r="E5" s="20"/>
      <c r="F5" s="20"/>
      <c r="G5" s="20"/>
      <c r="H5" s="20"/>
      <c r="I5" s="20"/>
      <c r="J5" s="20"/>
      <c r="K5" s="20"/>
    </row>
  </sheetData>
  <mergeCells count="1"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0C05-3E52-46F8-86D2-03384DF6E22C}">
  <dimension ref="A1:P29"/>
  <sheetViews>
    <sheetView workbookViewId="0">
      <pane ySplit="2" topLeftCell="A3" activePane="bottomLeft" state="frozen"/>
      <selection pane="bottomLeft" activeCell="U13" sqref="U13"/>
    </sheetView>
  </sheetViews>
  <sheetFormatPr defaultRowHeight="15" x14ac:dyDescent="0.25"/>
  <cols>
    <col min="1" max="2" width="3.7109375" bestFit="1" customWidth="1"/>
    <col min="3" max="3" width="4" bestFit="1" customWidth="1"/>
    <col min="4" max="4" width="6.28515625" bestFit="1" customWidth="1"/>
    <col min="5" max="5" width="22.7109375" customWidth="1"/>
    <col min="6" max="6" width="5.140625" bestFit="1" customWidth="1"/>
    <col min="7" max="7" width="12.7109375" bestFit="1" customWidth="1"/>
    <col min="8" max="8" width="6.140625" bestFit="1" customWidth="1"/>
    <col min="10" max="13" width="3.7109375" bestFit="1" customWidth="1"/>
    <col min="15" max="15" width="18" bestFit="1" customWidth="1"/>
    <col min="16" max="16" width="9.140625" bestFit="1" customWidth="1"/>
  </cols>
  <sheetData>
    <row r="1" spans="1:16" x14ac:dyDescent="0.25">
      <c r="A1" s="6"/>
      <c r="B1" s="6"/>
      <c r="C1" s="6"/>
      <c r="D1" s="6"/>
      <c r="E1" s="6"/>
      <c r="F1" s="6"/>
      <c r="G1" s="6"/>
      <c r="H1" s="6"/>
      <c r="I1" s="6"/>
      <c r="J1" s="21" t="s">
        <v>62</v>
      </c>
      <c r="K1" s="21"/>
      <c r="L1" s="21"/>
      <c r="M1" s="22"/>
    </row>
    <row r="2" spans="1:16" ht="45.75" x14ac:dyDescent="0.25">
      <c r="A2" s="4" t="s">
        <v>7</v>
      </c>
      <c r="B2" s="4" t="s">
        <v>2</v>
      </c>
      <c r="C2" s="4" t="s">
        <v>8</v>
      </c>
      <c r="D2" s="4" t="s">
        <v>10</v>
      </c>
      <c r="E2" s="4" t="s">
        <v>11</v>
      </c>
      <c r="F2" s="4" t="s">
        <v>14</v>
      </c>
      <c r="G2" s="4" t="s">
        <v>16</v>
      </c>
      <c r="H2" s="4" t="s">
        <v>17</v>
      </c>
      <c r="I2" s="6"/>
      <c r="J2" s="4">
        <v>10</v>
      </c>
      <c r="K2" s="4">
        <v>100</v>
      </c>
      <c r="L2" s="4">
        <v>1000</v>
      </c>
      <c r="M2" s="4" t="s">
        <v>63</v>
      </c>
    </row>
    <row r="3" spans="1:16" x14ac:dyDescent="0.25">
      <c r="A3" s="5">
        <v>1</v>
      </c>
      <c r="B3" s="5" t="s">
        <v>3</v>
      </c>
      <c r="C3" s="12" t="s">
        <v>9</v>
      </c>
      <c r="D3" s="5" t="str">
        <f>A3 &amp; B3 &amp; C3</f>
        <v>1A001</v>
      </c>
      <c r="E3" s="5" t="s">
        <v>12</v>
      </c>
      <c r="F3" s="5" t="s">
        <v>15</v>
      </c>
      <c r="G3" s="5" t="s">
        <v>18</v>
      </c>
      <c r="H3" s="7">
        <v>25</v>
      </c>
      <c r="I3" s="5"/>
      <c r="J3" s="5"/>
      <c r="K3" s="5">
        <v>1</v>
      </c>
      <c r="L3" s="5"/>
      <c r="M3" s="5"/>
      <c r="O3" s="6" t="s">
        <v>47</v>
      </c>
      <c r="P3" s="7">
        <f>totalCAT6</f>
        <v>380</v>
      </c>
    </row>
    <row r="4" spans="1:16" x14ac:dyDescent="0.25">
      <c r="A4" s="5">
        <v>1</v>
      </c>
      <c r="B4" s="5" t="s">
        <v>3</v>
      </c>
      <c r="C4" s="12" t="s">
        <v>13</v>
      </c>
      <c r="D4" s="5" t="str">
        <f>A4 &amp; B4 &amp; C4</f>
        <v>1A002</v>
      </c>
      <c r="E4" s="5" t="s">
        <v>12</v>
      </c>
      <c r="F4" s="5" t="s">
        <v>40</v>
      </c>
      <c r="G4" s="5" t="s">
        <v>39</v>
      </c>
      <c r="H4" s="7">
        <v>23</v>
      </c>
      <c r="I4" s="5"/>
      <c r="J4" s="5">
        <v>1</v>
      </c>
      <c r="K4" s="5"/>
      <c r="L4" s="5"/>
      <c r="M4" s="5"/>
      <c r="O4" s="6" t="s">
        <v>48</v>
      </c>
      <c r="P4" s="7">
        <v>300</v>
      </c>
    </row>
    <row r="5" spans="1:16" x14ac:dyDescent="0.25">
      <c r="A5" s="5">
        <v>1</v>
      </c>
      <c r="B5" s="5" t="s">
        <v>3</v>
      </c>
      <c r="C5" s="12" t="s">
        <v>19</v>
      </c>
      <c r="D5" s="5" t="str">
        <f>A5 &amp; B5 &amp; C5</f>
        <v>1A003</v>
      </c>
      <c r="E5" s="5" t="s">
        <v>12</v>
      </c>
      <c r="F5" s="5" t="s">
        <v>15</v>
      </c>
      <c r="G5" s="5" t="s">
        <v>29</v>
      </c>
      <c r="H5" s="7">
        <v>20</v>
      </c>
      <c r="I5" s="5"/>
      <c r="J5" s="5"/>
      <c r="K5" s="5">
        <v>1</v>
      </c>
      <c r="L5" s="5"/>
      <c r="M5" s="5"/>
      <c r="O5" s="6" t="s">
        <v>49</v>
      </c>
      <c r="P5" s="5">
        <f>ROUNDUP(P3/P4,0)</f>
        <v>2</v>
      </c>
    </row>
    <row r="6" spans="1:16" x14ac:dyDescent="0.25">
      <c r="A6" s="5">
        <v>1</v>
      </c>
      <c r="B6" s="5" t="s">
        <v>3</v>
      </c>
      <c r="C6" s="12" t="s">
        <v>20</v>
      </c>
      <c r="D6" s="5" t="str">
        <f t="shared" ref="D6:D16" si="0">A6 &amp; B6 &amp; C6</f>
        <v>1A004</v>
      </c>
      <c r="E6" s="5" t="s">
        <v>12</v>
      </c>
      <c r="F6" s="5" t="s">
        <v>40</v>
      </c>
      <c r="G6" s="5" t="s">
        <v>39</v>
      </c>
      <c r="H6" s="7">
        <v>18</v>
      </c>
      <c r="I6" s="5"/>
      <c r="J6" s="5">
        <v>1</v>
      </c>
      <c r="K6" s="5"/>
      <c r="L6" s="5"/>
      <c r="M6" s="5"/>
      <c r="O6" s="6" t="s">
        <v>50</v>
      </c>
      <c r="P6" s="8">
        <v>48</v>
      </c>
    </row>
    <row r="7" spans="1:16" x14ac:dyDescent="0.25">
      <c r="A7" s="5">
        <v>1</v>
      </c>
      <c r="B7" s="5" t="s">
        <v>3</v>
      </c>
      <c r="C7" s="12" t="s">
        <v>21</v>
      </c>
      <c r="D7" s="5" t="str">
        <f t="shared" si="0"/>
        <v>1A005</v>
      </c>
      <c r="E7" s="5" t="s">
        <v>30</v>
      </c>
      <c r="F7" s="5" t="s">
        <v>93</v>
      </c>
      <c r="G7" s="5" t="s">
        <v>31</v>
      </c>
      <c r="H7" s="7">
        <v>70</v>
      </c>
      <c r="I7" s="5"/>
      <c r="J7" s="5"/>
      <c r="K7" s="5">
        <v>1</v>
      </c>
      <c r="L7" s="5"/>
      <c r="M7" s="5"/>
      <c r="O7" s="6" t="s">
        <v>51</v>
      </c>
      <c r="P7" s="9">
        <v>0.23</v>
      </c>
    </row>
    <row r="8" spans="1:16" x14ac:dyDescent="0.25">
      <c r="A8" s="5">
        <v>1</v>
      </c>
      <c r="B8" s="5" t="s">
        <v>3</v>
      </c>
      <c r="C8" s="12" t="s">
        <v>22</v>
      </c>
      <c r="D8" s="5" t="str">
        <f t="shared" si="0"/>
        <v>1A006</v>
      </c>
      <c r="E8" s="5" t="s">
        <v>30</v>
      </c>
      <c r="F8" s="5" t="s">
        <v>93</v>
      </c>
      <c r="G8" s="5" t="s">
        <v>32</v>
      </c>
      <c r="H8" s="7">
        <v>60</v>
      </c>
      <c r="I8" s="5"/>
      <c r="J8" s="5"/>
      <c r="K8" s="5">
        <v>1</v>
      </c>
      <c r="L8" s="5"/>
      <c r="M8" s="5"/>
      <c r="O8" s="6" t="s">
        <v>52</v>
      </c>
      <c r="P8" s="8">
        <f>P6*P7</f>
        <v>11.040000000000001</v>
      </c>
    </row>
    <row r="9" spans="1:16" ht="15.75" thickBot="1" x14ac:dyDescent="0.3">
      <c r="A9" s="5">
        <v>1</v>
      </c>
      <c r="B9" s="5" t="s">
        <v>3</v>
      </c>
      <c r="C9" s="12" t="s">
        <v>23</v>
      </c>
      <c r="D9" s="5" t="str">
        <f t="shared" si="0"/>
        <v>1A007</v>
      </c>
      <c r="E9" s="5" t="s">
        <v>38</v>
      </c>
      <c r="F9" s="5" t="s">
        <v>33</v>
      </c>
      <c r="G9" s="5" t="s">
        <v>34</v>
      </c>
      <c r="H9" s="7">
        <v>35</v>
      </c>
      <c r="I9" s="5"/>
      <c r="J9" s="5"/>
      <c r="K9" s="5"/>
      <c r="L9" s="5">
        <v>1</v>
      </c>
      <c r="M9" s="5"/>
      <c r="O9" s="17" t="s">
        <v>53</v>
      </c>
      <c r="P9" s="18">
        <f>P8+P6</f>
        <v>59.04</v>
      </c>
    </row>
    <row r="10" spans="1:16" ht="15.75" thickBot="1" x14ac:dyDescent="0.3">
      <c r="A10" s="5">
        <v>1</v>
      </c>
      <c r="B10" s="5" t="s">
        <v>3</v>
      </c>
      <c r="C10" s="12" t="s">
        <v>24</v>
      </c>
      <c r="D10" s="5" t="str">
        <f t="shared" si="0"/>
        <v>1A008</v>
      </c>
      <c r="E10" s="5" t="s">
        <v>41</v>
      </c>
      <c r="F10" s="5" t="s">
        <v>33</v>
      </c>
      <c r="G10" s="5" t="s">
        <v>34</v>
      </c>
      <c r="H10" s="7">
        <v>25</v>
      </c>
      <c r="I10" s="5"/>
      <c r="J10" s="5"/>
      <c r="K10" s="5"/>
      <c r="L10" s="5">
        <v>1</v>
      </c>
      <c r="M10" s="5"/>
      <c r="O10" s="30" t="s">
        <v>54</v>
      </c>
      <c r="P10" s="31">
        <f>P5*P9</f>
        <v>118.08</v>
      </c>
    </row>
    <row r="11" spans="1:16" x14ac:dyDescent="0.25">
      <c r="A11" s="5">
        <v>1</v>
      </c>
      <c r="B11" s="5" t="s">
        <v>3</v>
      </c>
      <c r="C11" s="12" t="s">
        <v>25</v>
      </c>
      <c r="D11" s="5" t="str">
        <f t="shared" si="0"/>
        <v>1A009</v>
      </c>
      <c r="E11" s="5" t="s">
        <v>92</v>
      </c>
      <c r="F11" s="5" t="s">
        <v>36</v>
      </c>
      <c r="G11" s="5" t="s">
        <v>42</v>
      </c>
      <c r="H11" s="7">
        <v>18</v>
      </c>
      <c r="I11" s="5"/>
      <c r="J11" s="5"/>
      <c r="K11" s="5">
        <v>1</v>
      </c>
      <c r="L11" s="5"/>
      <c r="M11" s="5">
        <v>1</v>
      </c>
    </row>
    <row r="12" spans="1:16" x14ac:dyDescent="0.25">
      <c r="A12" s="5">
        <v>1</v>
      </c>
      <c r="B12" s="5" t="s">
        <v>3</v>
      </c>
      <c r="C12" s="12" t="s">
        <v>26</v>
      </c>
      <c r="D12" s="5" t="str">
        <f t="shared" si="0"/>
        <v>1A010</v>
      </c>
      <c r="E12" s="5" t="s">
        <v>97</v>
      </c>
      <c r="F12" s="5" t="s">
        <v>37</v>
      </c>
      <c r="G12" s="5" t="s">
        <v>43</v>
      </c>
      <c r="H12" s="7">
        <v>30</v>
      </c>
      <c r="I12" s="5"/>
      <c r="J12" s="5"/>
      <c r="K12" s="5">
        <v>1</v>
      </c>
      <c r="L12" s="5"/>
      <c r="M12" s="5">
        <v>1</v>
      </c>
      <c r="O12" s="6" t="s">
        <v>64</v>
      </c>
      <c r="P12" s="5" cm="1">
        <f t="array" ref="P12">MAX(VALUE(C3:C14))</f>
        <v>12</v>
      </c>
    </row>
    <row r="13" spans="1:16" x14ac:dyDescent="0.25">
      <c r="A13" s="5">
        <v>1</v>
      </c>
      <c r="B13" s="5" t="s">
        <v>3</v>
      </c>
      <c r="C13" s="12" t="s">
        <v>27</v>
      </c>
      <c r="D13" s="5" t="str">
        <f t="shared" si="0"/>
        <v>1A011</v>
      </c>
      <c r="E13" s="5" t="s">
        <v>35</v>
      </c>
      <c r="F13" s="5" t="s">
        <v>94</v>
      </c>
      <c r="G13" s="5" t="s">
        <v>44</v>
      </c>
      <c r="H13" s="7">
        <v>28</v>
      </c>
      <c r="I13" s="5"/>
      <c r="J13" s="5"/>
      <c r="K13" s="5">
        <v>1</v>
      </c>
      <c r="L13" s="5"/>
      <c r="M13" s="5"/>
      <c r="O13" s="6" t="s">
        <v>65</v>
      </c>
      <c r="P13" s="8">
        <v>100</v>
      </c>
    </row>
    <row r="14" spans="1:16" ht="15.75" thickBot="1" x14ac:dyDescent="0.3">
      <c r="A14" s="5">
        <v>1</v>
      </c>
      <c r="B14" s="5" t="s">
        <v>3</v>
      </c>
      <c r="C14" s="12" t="s">
        <v>28</v>
      </c>
      <c r="D14" s="5" t="str">
        <f t="shared" si="0"/>
        <v>1A012</v>
      </c>
      <c r="E14" s="5" t="s">
        <v>35</v>
      </c>
      <c r="F14" s="5" t="s">
        <v>94</v>
      </c>
      <c r="G14" s="19" t="s">
        <v>45</v>
      </c>
      <c r="H14" s="23">
        <v>28</v>
      </c>
      <c r="I14" s="19"/>
      <c r="J14" s="19"/>
      <c r="K14" s="19"/>
      <c r="L14" s="19"/>
      <c r="M14" s="19">
        <v>1</v>
      </c>
      <c r="O14" s="6" t="s">
        <v>51</v>
      </c>
      <c r="P14" s="9">
        <v>0.23</v>
      </c>
    </row>
    <row r="15" spans="1:16" ht="15.75" thickBot="1" x14ac:dyDescent="0.3">
      <c r="C15" s="2"/>
      <c r="G15" s="25" t="s">
        <v>46</v>
      </c>
      <c r="H15" s="28">
        <f>SUM(H3:H14)</f>
        <v>380</v>
      </c>
      <c r="I15" s="29"/>
      <c r="J15" s="26">
        <f>SUM(J3:J14)</f>
        <v>2</v>
      </c>
      <c r="K15" s="26">
        <f>SUM(K3:K14)</f>
        <v>7</v>
      </c>
      <c r="L15" s="26">
        <f>SUM(L3:L14)</f>
        <v>2</v>
      </c>
      <c r="M15" s="27">
        <f>SUM(M3:M14)</f>
        <v>3</v>
      </c>
      <c r="O15" s="6" t="s">
        <v>52</v>
      </c>
      <c r="P15" s="8">
        <f>P13*P14</f>
        <v>23</v>
      </c>
    </row>
    <row r="16" spans="1:16" ht="15.75" thickBot="1" x14ac:dyDescent="0.3">
      <c r="C16" s="2"/>
      <c r="O16" s="17" t="s">
        <v>53</v>
      </c>
      <c r="P16" s="18">
        <f>P15+P13</f>
        <v>123</v>
      </c>
    </row>
    <row r="17" spans="3:16" ht="15.75" thickBot="1" x14ac:dyDescent="0.3">
      <c r="C17" s="2"/>
      <c r="O17" s="30" t="s">
        <v>66</v>
      </c>
      <c r="P17" s="31">
        <f>P12*P16</f>
        <v>1476</v>
      </c>
    </row>
    <row r="18" spans="3:16" x14ac:dyDescent="0.25">
      <c r="C18" s="2"/>
    </row>
    <row r="19" spans="3:16" x14ac:dyDescent="0.25">
      <c r="O19" s="6" t="s">
        <v>67</v>
      </c>
      <c r="P19" s="5">
        <f>total10mb</f>
        <v>2</v>
      </c>
    </row>
    <row r="20" spans="3:16" x14ac:dyDescent="0.25">
      <c r="O20" s="6" t="s">
        <v>68</v>
      </c>
      <c r="P20" s="5">
        <f>total100mb</f>
        <v>7</v>
      </c>
    </row>
    <row r="21" spans="3:16" x14ac:dyDescent="0.25">
      <c r="O21" s="6" t="s">
        <v>69</v>
      </c>
      <c r="P21" s="5">
        <f>total1000mb</f>
        <v>2</v>
      </c>
    </row>
    <row r="22" spans="3:16" x14ac:dyDescent="0.25">
      <c r="O22" s="6" t="s">
        <v>70</v>
      </c>
      <c r="P22" s="5">
        <f>SUM(P19:P21)</f>
        <v>11</v>
      </c>
    </row>
    <row r="23" spans="3:16" x14ac:dyDescent="0.25">
      <c r="O23" s="6" t="s">
        <v>71</v>
      </c>
      <c r="P23" s="5">
        <v>24</v>
      </c>
    </row>
    <row r="24" spans="3:16" x14ac:dyDescent="0.25">
      <c r="O24" s="6" t="s">
        <v>72</v>
      </c>
      <c r="P24" s="5">
        <f>ROUNDUP(P22/P23,0)</f>
        <v>1</v>
      </c>
    </row>
    <row r="25" spans="3:16" x14ac:dyDescent="0.25">
      <c r="O25" s="6" t="s">
        <v>73</v>
      </c>
      <c r="P25" s="8">
        <v>1500</v>
      </c>
    </row>
    <row r="26" spans="3:16" x14ac:dyDescent="0.25">
      <c r="O26" s="6" t="s">
        <v>51</v>
      </c>
      <c r="P26" s="9">
        <v>0.23</v>
      </c>
    </row>
    <row r="27" spans="3:16" x14ac:dyDescent="0.25">
      <c r="O27" s="6" t="s">
        <v>52</v>
      </c>
      <c r="P27" s="8">
        <f>P25*P26</f>
        <v>345</v>
      </c>
    </row>
    <row r="28" spans="3:16" ht="15.75" thickBot="1" x14ac:dyDescent="0.3">
      <c r="O28" s="17" t="s">
        <v>53</v>
      </c>
      <c r="P28" s="18">
        <f>P27+P25</f>
        <v>1845</v>
      </c>
    </row>
    <row r="29" spans="3:16" ht="15.75" thickBot="1" x14ac:dyDescent="0.3">
      <c r="O29" s="30" t="s">
        <v>74</v>
      </c>
      <c r="P29" s="31">
        <f>P24*P28</f>
        <v>1845</v>
      </c>
    </row>
  </sheetData>
  <mergeCells count="1">
    <mergeCell ref="J1:L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417D-1F12-447D-BBCD-43485CD356E4}">
  <dimension ref="A1:U29"/>
  <sheetViews>
    <sheetView workbookViewId="0">
      <selection activeCell="T13" sqref="T13"/>
    </sheetView>
  </sheetViews>
  <sheetFormatPr defaultRowHeight="15" x14ac:dyDescent="0.25"/>
  <cols>
    <col min="1" max="2" width="3.7109375" bestFit="1" customWidth="1"/>
    <col min="3" max="3" width="4" bestFit="1" customWidth="1"/>
    <col min="4" max="4" width="6.140625" bestFit="1" customWidth="1"/>
    <col min="5" max="5" width="16" bestFit="1" customWidth="1"/>
    <col min="6" max="6" width="3.7109375" bestFit="1" customWidth="1"/>
    <col min="7" max="7" width="12.7109375" bestFit="1" customWidth="1"/>
    <col min="8" max="8" width="6.140625" bestFit="1" customWidth="1"/>
    <col min="10" max="13" width="3.7109375" bestFit="1" customWidth="1"/>
    <col min="15" max="15" width="18" bestFit="1" customWidth="1"/>
  </cols>
  <sheetData>
    <row r="1" spans="1:21" x14ac:dyDescent="0.25">
      <c r="A1" s="10"/>
      <c r="B1" s="10"/>
      <c r="C1" s="10"/>
      <c r="D1" s="10"/>
      <c r="E1" s="10"/>
      <c r="F1" s="10"/>
      <c r="G1" s="10"/>
      <c r="H1" s="10"/>
      <c r="I1" s="10"/>
      <c r="J1" s="11" t="s">
        <v>62</v>
      </c>
      <c r="K1" s="11"/>
      <c r="L1" s="11"/>
      <c r="M1" s="10"/>
    </row>
    <row r="2" spans="1:21" ht="45.75" x14ac:dyDescent="0.25">
      <c r="A2" s="4" t="s">
        <v>7</v>
      </c>
      <c r="B2" s="4" t="s">
        <v>2</v>
      </c>
      <c r="C2" s="4" t="s">
        <v>8</v>
      </c>
      <c r="D2" s="4" t="s">
        <v>10</v>
      </c>
      <c r="E2" s="4" t="s">
        <v>11</v>
      </c>
      <c r="F2" s="4" t="s">
        <v>14</v>
      </c>
      <c r="G2" s="4" t="s">
        <v>16</v>
      </c>
      <c r="H2" s="4" t="s">
        <v>17</v>
      </c>
      <c r="I2" s="6"/>
      <c r="J2" s="4">
        <v>10</v>
      </c>
      <c r="K2" s="4">
        <v>100</v>
      </c>
      <c r="L2" s="4">
        <v>1000</v>
      </c>
      <c r="M2" s="4" t="s">
        <v>63</v>
      </c>
    </row>
    <row r="3" spans="1:21" x14ac:dyDescent="0.25">
      <c r="A3" s="5">
        <v>1</v>
      </c>
      <c r="B3" s="5" t="s">
        <v>4</v>
      </c>
      <c r="C3" s="12" t="s">
        <v>9</v>
      </c>
      <c r="D3" s="5" t="str">
        <f>A3 &amp; B3 &amp; C3</f>
        <v>1B001</v>
      </c>
      <c r="E3" s="5" t="s">
        <v>30</v>
      </c>
      <c r="F3" s="5" t="s">
        <v>93</v>
      </c>
      <c r="G3" s="5" t="s">
        <v>95</v>
      </c>
      <c r="H3" s="7">
        <v>40</v>
      </c>
      <c r="I3" s="5"/>
      <c r="J3" s="5"/>
      <c r="K3" s="5">
        <v>1</v>
      </c>
      <c r="L3" s="5"/>
      <c r="M3" s="5">
        <v>1</v>
      </c>
      <c r="O3" s="6" t="s">
        <v>47</v>
      </c>
      <c r="P3" s="7">
        <f>totalCAT61F</f>
        <v>499</v>
      </c>
    </row>
    <row r="4" spans="1:21" x14ac:dyDescent="0.25">
      <c r="A4" s="5">
        <v>1</v>
      </c>
      <c r="B4" s="5" t="s">
        <v>4</v>
      </c>
      <c r="C4" s="12" t="s">
        <v>13</v>
      </c>
      <c r="D4" s="5" t="str">
        <f>A4 &amp; B4 &amp; C4</f>
        <v>1B002</v>
      </c>
      <c r="E4" s="5" t="s">
        <v>30</v>
      </c>
      <c r="F4" s="5" t="s">
        <v>93</v>
      </c>
      <c r="G4" s="5" t="s">
        <v>96</v>
      </c>
      <c r="H4" s="7">
        <v>30</v>
      </c>
      <c r="I4" s="5"/>
      <c r="J4" s="5"/>
      <c r="K4" s="5">
        <v>1</v>
      </c>
      <c r="L4" s="5"/>
      <c r="M4" s="5">
        <v>1</v>
      </c>
      <c r="O4" s="6" t="s">
        <v>48</v>
      </c>
      <c r="P4" s="7">
        <v>300</v>
      </c>
    </row>
    <row r="5" spans="1:21" x14ac:dyDescent="0.25">
      <c r="A5" s="5">
        <v>1</v>
      </c>
      <c r="B5" s="5" t="s">
        <v>4</v>
      </c>
      <c r="C5" s="12" t="s">
        <v>19</v>
      </c>
      <c r="D5" s="5" t="str">
        <f>A5 &amp; B5 &amp; C5</f>
        <v>1B003</v>
      </c>
      <c r="E5" s="5" t="s">
        <v>98</v>
      </c>
      <c r="F5" s="5" t="s">
        <v>36</v>
      </c>
      <c r="G5" s="5" t="s">
        <v>42</v>
      </c>
      <c r="H5" s="7">
        <v>12</v>
      </c>
      <c r="I5" s="5"/>
      <c r="J5" s="5"/>
      <c r="K5" s="5">
        <v>1</v>
      </c>
      <c r="L5" s="5"/>
      <c r="M5" s="5"/>
      <c r="O5" s="6" t="s">
        <v>49</v>
      </c>
      <c r="P5" s="5">
        <f>ROUNDUP(P3/P4,0)</f>
        <v>2</v>
      </c>
    </row>
    <row r="6" spans="1:21" x14ac:dyDescent="0.25">
      <c r="A6" s="5">
        <v>1</v>
      </c>
      <c r="B6" s="5" t="s">
        <v>4</v>
      </c>
      <c r="C6" s="12" t="s">
        <v>20</v>
      </c>
      <c r="D6" s="5" t="str">
        <f t="shared" ref="D6:D17" si="0">A6 &amp; B6 &amp; C6</f>
        <v>1B004</v>
      </c>
      <c r="E6" s="5" t="s">
        <v>99</v>
      </c>
      <c r="F6" s="5" t="s">
        <v>37</v>
      </c>
      <c r="G6" s="5" t="s">
        <v>43</v>
      </c>
      <c r="H6" s="7">
        <v>60</v>
      </c>
      <c r="I6" s="5"/>
      <c r="J6" s="5"/>
      <c r="K6" s="5">
        <v>1</v>
      </c>
      <c r="L6" s="5"/>
      <c r="M6" s="5"/>
      <c r="O6" s="6" t="s">
        <v>50</v>
      </c>
      <c r="P6" s="8">
        <v>48</v>
      </c>
    </row>
    <row r="7" spans="1:21" x14ac:dyDescent="0.25">
      <c r="A7" s="5">
        <v>1</v>
      </c>
      <c r="B7" s="5" t="s">
        <v>4</v>
      </c>
      <c r="C7" s="12" t="s">
        <v>21</v>
      </c>
      <c r="D7" s="5" t="str">
        <f t="shared" si="0"/>
        <v>1B005</v>
      </c>
      <c r="E7" s="5" t="s">
        <v>100</v>
      </c>
      <c r="F7" s="5" t="s">
        <v>33</v>
      </c>
      <c r="G7" s="5" t="s">
        <v>34</v>
      </c>
      <c r="H7" s="7">
        <v>20</v>
      </c>
      <c r="I7" s="5"/>
      <c r="J7" s="5"/>
      <c r="K7" s="5"/>
      <c r="L7" s="5">
        <v>1</v>
      </c>
      <c r="M7" s="5"/>
      <c r="O7" s="6" t="s">
        <v>51</v>
      </c>
      <c r="P7" s="9">
        <v>0.23</v>
      </c>
    </row>
    <row r="8" spans="1:21" x14ac:dyDescent="0.25">
      <c r="A8" s="5">
        <v>1</v>
      </c>
      <c r="B8" s="5" t="s">
        <v>4</v>
      </c>
      <c r="C8" s="12" t="s">
        <v>22</v>
      </c>
      <c r="D8" s="5" t="str">
        <f t="shared" si="0"/>
        <v>1B006</v>
      </c>
      <c r="E8" s="5" t="s">
        <v>101</v>
      </c>
      <c r="F8" s="5" t="s">
        <v>3</v>
      </c>
      <c r="G8" s="5" t="s">
        <v>112</v>
      </c>
      <c r="H8" s="7">
        <v>40</v>
      </c>
      <c r="I8" s="5"/>
      <c r="J8" s="5"/>
      <c r="K8" s="5"/>
      <c r="L8" s="5">
        <v>1</v>
      </c>
      <c r="M8" s="5"/>
      <c r="O8" s="6" t="s">
        <v>52</v>
      </c>
      <c r="P8" s="8">
        <f>P6*P7</f>
        <v>11.040000000000001</v>
      </c>
    </row>
    <row r="9" spans="1:21" ht="15.75" thickBot="1" x14ac:dyDescent="0.3">
      <c r="A9" s="5">
        <v>1</v>
      </c>
      <c r="B9" s="5" t="s">
        <v>4</v>
      </c>
      <c r="C9" s="12" t="s">
        <v>23</v>
      </c>
      <c r="D9" s="5" t="str">
        <f t="shared" si="0"/>
        <v>1B007</v>
      </c>
      <c r="E9" s="5" t="s">
        <v>102</v>
      </c>
      <c r="F9" s="5" t="s">
        <v>3</v>
      </c>
      <c r="G9" s="5" t="s">
        <v>112</v>
      </c>
      <c r="H9" s="7">
        <v>40</v>
      </c>
      <c r="I9" s="5"/>
      <c r="J9" s="5"/>
      <c r="K9" s="5"/>
      <c r="L9" s="5">
        <v>1</v>
      </c>
      <c r="M9" s="5"/>
      <c r="O9" s="17" t="s">
        <v>53</v>
      </c>
      <c r="P9" s="18">
        <f>P8+P6</f>
        <v>59.04</v>
      </c>
    </row>
    <row r="10" spans="1:21" ht="15.75" thickBot="1" x14ac:dyDescent="0.3">
      <c r="A10" s="5">
        <v>1</v>
      </c>
      <c r="B10" s="5" t="s">
        <v>4</v>
      </c>
      <c r="C10" s="12" t="s">
        <v>24</v>
      </c>
      <c r="D10" s="5" t="str">
        <f t="shared" si="0"/>
        <v>1B008</v>
      </c>
      <c r="E10" s="5" t="s">
        <v>103</v>
      </c>
      <c r="F10" s="5" t="s">
        <v>3</v>
      </c>
      <c r="G10" s="5" t="s">
        <v>112</v>
      </c>
      <c r="H10" s="7">
        <v>35</v>
      </c>
      <c r="I10" s="5"/>
      <c r="J10" s="5"/>
      <c r="K10" s="5"/>
      <c r="L10" s="5">
        <v>1</v>
      </c>
      <c r="M10" s="5"/>
      <c r="O10" s="30" t="s">
        <v>54</v>
      </c>
      <c r="P10" s="31">
        <f>P5*P9</f>
        <v>118.08</v>
      </c>
    </row>
    <row r="11" spans="1:21" x14ac:dyDescent="0.25">
      <c r="A11" s="5">
        <v>1</v>
      </c>
      <c r="B11" s="5" t="s">
        <v>4</v>
      </c>
      <c r="C11" s="12" t="s">
        <v>25</v>
      </c>
      <c r="D11" s="5" t="str">
        <f t="shared" si="0"/>
        <v>1B009</v>
      </c>
      <c r="E11" s="5" t="s">
        <v>104</v>
      </c>
      <c r="F11" s="5" t="s">
        <v>3</v>
      </c>
      <c r="G11" s="5" t="s">
        <v>112</v>
      </c>
      <c r="H11" s="7">
        <v>35</v>
      </c>
      <c r="I11" s="5"/>
      <c r="J11" s="5"/>
      <c r="K11" s="5"/>
      <c r="L11" s="5">
        <v>1</v>
      </c>
      <c r="M11" s="5"/>
    </row>
    <row r="12" spans="1:21" x14ac:dyDescent="0.25">
      <c r="A12" s="5">
        <v>1</v>
      </c>
      <c r="B12" s="5" t="s">
        <v>4</v>
      </c>
      <c r="C12" s="12" t="s">
        <v>26</v>
      </c>
      <c r="D12" s="5" t="str">
        <f t="shared" si="0"/>
        <v>1B010</v>
      </c>
      <c r="E12" s="5" t="s">
        <v>105</v>
      </c>
      <c r="F12" s="5" t="s">
        <v>3</v>
      </c>
      <c r="G12" s="5" t="s">
        <v>112</v>
      </c>
      <c r="H12" s="7">
        <v>17</v>
      </c>
      <c r="I12" s="5"/>
      <c r="J12" s="5"/>
      <c r="K12" s="5"/>
      <c r="L12" s="5">
        <v>1</v>
      </c>
      <c r="M12" s="5"/>
      <c r="O12" s="6" t="s">
        <v>64</v>
      </c>
      <c r="P12" s="5" cm="1">
        <f t="array" ref="P12">MAX(VALUE(C3:C17))</f>
        <v>15</v>
      </c>
    </row>
    <row r="13" spans="1:21" x14ac:dyDescent="0.25">
      <c r="A13" s="5">
        <v>1</v>
      </c>
      <c r="B13" s="5" t="s">
        <v>4</v>
      </c>
      <c r="C13" s="12" t="s">
        <v>27</v>
      </c>
      <c r="D13" s="5" t="str">
        <f t="shared" si="0"/>
        <v>1B011</v>
      </c>
      <c r="E13" s="5" t="s">
        <v>106</v>
      </c>
      <c r="F13" s="5" t="s">
        <v>3</v>
      </c>
      <c r="G13" s="5" t="s">
        <v>112</v>
      </c>
      <c r="H13" s="7">
        <v>20</v>
      </c>
      <c r="I13" s="5"/>
      <c r="J13" s="5"/>
      <c r="K13" s="5"/>
      <c r="L13" s="5">
        <v>1</v>
      </c>
      <c r="M13" s="5"/>
      <c r="O13" s="6" t="s">
        <v>65</v>
      </c>
      <c r="P13" s="8">
        <v>100</v>
      </c>
    </row>
    <row r="14" spans="1:21" x14ac:dyDescent="0.25">
      <c r="A14" s="5">
        <v>1</v>
      </c>
      <c r="B14" s="5" t="s">
        <v>4</v>
      </c>
      <c r="C14" s="12" t="s">
        <v>28</v>
      </c>
      <c r="D14" s="5" t="str">
        <f t="shared" si="0"/>
        <v>1B012</v>
      </c>
      <c r="E14" s="5" t="s">
        <v>107</v>
      </c>
      <c r="F14" s="5" t="s">
        <v>3</v>
      </c>
      <c r="G14" s="5" t="s">
        <v>112</v>
      </c>
      <c r="H14" s="7">
        <v>35</v>
      </c>
      <c r="I14" s="5"/>
      <c r="J14" s="5"/>
      <c r="K14" s="5"/>
      <c r="L14" s="5">
        <v>1</v>
      </c>
      <c r="M14" s="5"/>
      <c r="O14" s="6" t="s">
        <v>51</v>
      </c>
      <c r="P14" s="9">
        <v>0.23</v>
      </c>
    </row>
    <row r="15" spans="1:21" x14ac:dyDescent="0.25">
      <c r="A15" s="5">
        <v>2</v>
      </c>
      <c r="B15" s="5" t="s">
        <v>4</v>
      </c>
      <c r="C15" s="12" t="s">
        <v>90</v>
      </c>
      <c r="D15" s="5" t="str">
        <f t="shared" si="0"/>
        <v>2B013</v>
      </c>
      <c r="E15" s="5" t="s">
        <v>108</v>
      </c>
      <c r="F15" s="5" t="s">
        <v>3</v>
      </c>
      <c r="G15" s="5" t="s">
        <v>112</v>
      </c>
      <c r="H15" s="7">
        <v>35</v>
      </c>
      <c r="I15" s="5"/>
      <c r="J15" s="5"/>
      <c r="K15" s="5"/>
      <c r="L15" s="5">
        <v>1</v>
      </c>
      <c r="M15" s="5"/>
      <c r="O15" s="6" t="s">
        <v>52</v>
      </c>
      <c r="P15" s="8">
        <f>P13*P14</f>
        <v>23</v>
      </c>
    </row>
    <row r="16" spans="1:21" ht="15.75" thickBot="1" x14ac:dyDescent="0.3">
      <c r="A16" s="5">
        <v>3</v>
      </c>
      <c r="B16" s="5" t="s">
        <v>4</v>
      </c>
      <c r="C16" s="12" t="s">
        <v>91</v>
      </c>
      <c r="D16" s="5" t="str">
        <f t="shared" si="0"/>
        <v>3B014</v>
      </c>
      <c r="E16" s="5" t="s">
        <v>109</v>
      </c>
      <c r="F16" s="5" t="s">
        <v>3</v>
      </c>
      <c r="G16" s="5" t="s">
        <v>112</v>
      </c>
      <c r="H16" s="7">
        <v>40</v>
      </c>
      <c r="I16" s="5"/>
      <c r="J16" s="5"/>
      <c r="K16" s="5"/>
      <c r="L16" s="5">
        <v>1</v>
      </c>
      <c r="M16" s="5"/>
      <c r="O16" s="17" t="s">
        <v>53</v>
      </c>
      <c r="P16" s="18">
        <f>P15+P13</f>
        <v>123</v>
      </c>
      <c r="R16" s="3"/>
      <c r="S16" s="3"/>
      <c r="T16" s="3"/>
      <c r="U16" s="1"/>
    </row>
    <row r="17" spans="1:16" ht="15.75" thickBot="1" x14ac:dyDescent="0.3">
      <c r="A17" s="5">
        <v>4</v>
      </c>
      <c r="B17" s="5" t="s">
        <v>4</v>
      </c>
      <c r="C17" s="12" t="s">
        <v>111</v>
      </c>
      <c r="D17" s="5" t="str">
        <f t="shared" si="0"/>
        <v>4B015</v>
      </c>
      <c r="E17" s="5" t="s">
        <v>110</v>
      </c>
      <c r="F17" s="5" t="s">
        <v>3</v>
      </c>
      <c r="G17" s="19" t="s">
        <v>112</v>
      </c>
      <c r="H17" s="23">
        <v>40</v>
      </c>
      <c r="I17" s="19"/>
      <c r="J17" s="19"/>
      <c r="K17" s="19"/>
      <c r="L17" s="19">
        <v>1</v>
      </c>
      <c r="M17" s="19"/>
      <c r="O17" s="30" t="s">
        <v>66</v>
      </c>
      <c r="P17" s="31">
        <f>P12*P16</f>
        <v>1845</v>
      </c>
    </row>
    <row r="18" spans="1:16" ht="15.75" thickBot="1" x14ac:dyDescent="0.3">
      <c r="G18" s="25" t="s">
        <v>113</v>
      </c>
      <c r="H18" s="28">
        <f>SUM(H3:H17)</f>
        <v>499</v>
      </c>
      <c r="I18" s="33"/>
      <c r="J18" s="26">
        <f>SUM(J3:J14)</f>
        <v>0</v>
      </c>
      <c r="K18" s="26">
        <f>SUM(K3:K14)</f>
        <v>4</v>
      </c>
      <c r="L18" s="26">
        <f>SUM(L3:L14)</f>
        <v>8</v>
      </c>
      <c r="M18" s="27">
        <f>SUM(M3:M14)</f>
        <v>2</v>
      </c>
    </row>
    <row r="19" spans="1:16" x14ac:dyDescent="0.25">
      <c r="O19" s="6" t="s">
        <v>67</v>
      </c>
      <c r="P19" s="5">
        <f>total10Mb1f</f>
        <v>0</v>
      </c>
    </row>
    <row r="20" spans="1:16" x14ac:dyDescent="0.25">
      <c r="O20" s="6" t="s">
        <v>68</v>
      </c>
      <c r="P20" s="5">
        <f>total100Mb1f</f>
        <v>4</v>
      </c>
    </row>
    <row r="21" spans="1:16" x14ac:dyDescent="0.25">
      <c r="O21" s="6" t="s">
        <v>69</v>
      </c>
      <c r="P21" s="5">
        <f>total1Gb1f</f>
        <v>8</v>
      </c>
    </row>
    <row r="22" spans="1:16" x14ac:dyDescent="0.25">
      <c r="O22" s="6" t="s">
        <v>70</v>
      </c>
      <c r="P22" s="5">
        <f>SUM(P19:P21)</f>
        <v>12</v>
      </c>
    </row>
    <row r="23" spans="1:16" x14ac:dyDescent="0.25">
      <c r="O23" s="6" t="s">
        <v>71</v>
      </c>
      <c r="P23" s="5">
        <v>24</v>
      </c>
    </row>
    <row r="24" spans="1:16" x14ac:dyDescent="0.25">
      <c r="O24" s="6" t="s">
        <v>72</v>
      </c>
      <c r="P24" s="5">
        <f>ROUNDUP(P22/P23,0)</f>
        <v>1</v>
      </c>
    </row>
    <row r="25" spans="1:16" x14ac:dyDescent="0.25">
      <c r="O25" s="6" t="s">
        <v>73</v>
      </c>
      <c r="P25" s="8">
        <v>1500</v>
      </c>
    </row>
    <row r="26" spans="1:16" x14ac:dyDescent="0.25">
      <c r="O26" s="6" t="s">
        <v>51</v>
      </c>
      <c r="P26" s="9">
        <v>0.23</v>
      </c>
    </row>
    <row r="27" spans="1:16" x14ac:dyDescent="0.25">
      <c r="O27" s="6" t="s">
        <v>52</v>
      </c>
      <c r="P27" s="8">
        <f>P25*P26</f>
        <v>345</v>
      </c>
    </row>
    <row r="28" spans="1:16" ht="15.75" thickBot="1" x14ac:dyDescent="0.3">
      <c r="O28" s="17" t="s">
        <v>53</v>
      </c>
      <c r="P28" s="18">
        <f>P27+P25</f>
        <v>1845</v>
      </c>
    </row>
    <row r="29" spans="1:16" ht="15.75" thickBot="1" x14ac:dyDescent="0.3">
      <c r="H29" s="32"/>
      <c r="O29" s="30" t="s">
        <v>74</v>
      </c>
      <c r="P29" s="31">
        <f>P24*P28</f>
        <v>1845</v>
      </c>
    </row>
  </sheetData>
  <mergeCells count="1">
    <mergeCell ref="J1:L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9CEA-FC8C-4A8D-97E3-C63A75720467}">
  <dimension ref="A1:K9"/>
  <sheetViews>
    <sheetView workbookViewId="0">
      <selection activeCell="J25" sqref="J25"/>
    </sheetView>
  </sheetViews>
  <sheetFormatPr defaultColWidth="9.140625" defaultRowHeight="15" x14ac:dyDescent="0.25"/>
  <cols>
    <col min="1" max="3" width="3.7109375" bestFit="1" customWidth="1"/>
    <col min="4" max="4" width="5.42578125" bestFit="1" customWidth="1"/>
    <col min="5" max="5" width="3.7109375" bestFit="1" customWidth="1"/>
    <col min="6" max="6" width="4" bestFit="1" customWidth="1"/>
    <col min="7" max="7" width="15.140625" bestFit="1" customWidth="1"/>
    <col min="8" max="8" width="3.7109375" bestFit="1" customWidth="1"/>
    <col min="10" max="10" width="15.28515625" bestFit="1" customWidth="1"/>
    <col min="11" max="11" width="6.5703125" bestFit="1" customWidth="1"/>
  </cols>
  <sheetData>
    <row r="1" spans="1:11" ht="72.75" x14ac:dyDescent="0.25">
      <c r="A1" s="4" t="s">
        <v>75</v>
      </c>
      <c r="B1" s="4" t="s">
        <v>76</v>
      </c>
      <c r="C1" s="4" t="s">
        <v>84</v>
      </c>
      <c r="D1" s="4" t="s">
        <v>80</v>
      </c>
      <c r="E1" s="4" t="s">
        <v>82</v>
      </c>
      <c r="F1" s="4" t="s">
        <v>83</v>
      </c>
      <c r="G1" s="4" t="s">
        <v>79</v>
      </c>
      <c r="H1" s="4" t="s">
        <v>17</v>
      </c>
    </row>
    <row r="2" spans="1:11" x14ac:dyDescent="0.25">
      <c r="A2" s="5" t="s">
        <v>77</v>
      </c>
      <c r="B2" s="5" t="s">
        <v>78</v>
      </c>
      <c r="C2" s="5">
        <v>1</v>
      </c>
      <c r="D2" s="5" t="s">
        <v>81</v>
      </c>
      <c r="E2" s="5">
        <v>8</v>
      </c>
      <c r="F2" s="5">
        <f>E2/2</f>
        <v>4</v>
      </c>
      <c r="G2" s="5" t="str">
        <f>"BD:" &amp; A2 &amp; "-" &amp; B2 &amp; " " &amp; D2 &amp; C2</f>
        <v>BD:1A-1B MMF1</v>
      </c>
      <c r="H2" s="5">
        <v>10</v>
      </c>
      <c r="J2" s="6" t="s">
        <v>47</v>
      </c>
      <c r="K2" s="7">
        <f>H4</f>
        <v>20</v>
      </c>
    </row>
    <row r="3" spans="1:11" ht="15.75" thickBot="1" x14ac:dyDescent="0.3">
      <c r="A3" s="5" t="s">
        <v>77</v>
      </c>
      <c r="B3" s="5" t="s">
        <v>78</v>
      </c>
      <c r="C3" s="5">
        <v>2</v>
      </c>
      <c r="D3" s="5" t="s">
        <v>81</v>
      </c>
      <c r="E3" s="5">
        <v>9</v>
      </c>
      <c r="F3" s="5">
        <f>E3/2</f>
        <v>4.5</v>
      </c>
      <c r="G3" s="19" t="str">
        <f>"BD:" &amp; A3 &amp; "-" &amp; B3 &amp; " " &amp; D3 &amp; C3</f>
        <v>BD:1A-1B MMF2</v>
      </c>
      <c r="H3" s="19">
        <v>10</v>
      </c>
      <c r="J3" s="6" t="s">
        <v>48</v>
      </c>
      <c r="K3" s="7">
        <v>300</v>
      </c>
    </row>
    <row r="4" spans="1:11" ht="15.75" thickBot="1" x14ac:dyDescent="0.3">
      <c r="G4" s="25" t="s">
        <v>85</v>
      </c>
      <c r="H4" s="27">
        <f>SUM(H2:H3)</f>
        <v>20</v>
      </c>
      <c r="J4" s="6" t="s">
        <v>49</v>
      </c>
      <c r="K4" s="5">
        <f>ROUNDUP(K2/K3,0)</f>
        <v>1</v>
      </c>
    </row>
    <row r="5" spans="1:11" x14ac:dyDescent="0.25">
      <c r="J5" s="6" t="s">
        <v>50</v>
      </c>
      <c r="K5" s="8">
        <v>48</v>
      </c>
    </row>
    <row r="6" spans="1:11" x14ac:dyDescent="0.25">
      <c r="J6" s="6" t="s">
        <v>51</v>
      </c>
      <c r="K6" s="9">
        <v>0.23</v>
      </c>
    </row>
    <row r="7" spans="1:11" x14ac:dyDescent="0.25">
      <c r="J7" s="6" t="s">
        <v>52</v>
      </c>
      <c r="K7" s="8">
        <f>K5*K6</f>
        <v>11.040000000000001</v>
      </c>
    </row>
    <row r="8" spans="1:11" ht="15.75" thickBot="1" x14ac:dyDescent="0.3">
      <c r="J8" s="17" t="s">
        <v>53</v>
      </c>
      <c r="K8" s="18">
        <f>K7+K5</f>
        <v>59.04</v>
      </c>
    </row>
    <row r="9" spans="1:11" ht="15.75" thickBot="1" x14ac:dyDescent="0.3">
      <c r="J9" s="30" t="s">
        <v>54</v>
      </c>
      <c r="K9" s="31">
        <f>K4*K8</f>
        <v>59.04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2C0C4-9D4D-486C-8D4E-9D1FFCD4E276}">
  <dimension ref="A1:L31"/>
  <sheetViews>
    <sheetView tabSelected="1" workbookViewId="0">
      <selection activeCell="L13" sqref="L13"/>
    </sheetView>
  </sheetViews>
  <sheetFormatPr defaultRowHeight="15" x14ac:dyDescent="0.25"/>
  <cols>
    <col min="1" max="2" width="3.7109375" bestFit="1" customWidth="1"/>
    <col min="3" max="3" width="13.140625" bestFit="1" customWidth="1"/>
    <col min="4" max="4" width="5.42578125" bestFit="1" customWidth="1"/>
    <col min="5" max="6" width="3.7109375" bestFit="1" customWidth="1"/>
    <col min="7" max="7" width="13.7109375" bestFit="1" customWidth="1"/>
    <col min="8" max="9" width="6.140625" bestFit="1" customWidth="1"/>
    <col min="11" max="11" width="15.28515625" bestFit="1" customWidth="1"/>
    <col min="12" max="12" width="7.5703125" bestFit="1" customWidth="1"/>
  </cols>
  <sheetData>
    <row r="1" spans="1:12" ht="72.75" x14ac:dyDescent="0.25">
      <c r="A1" s="4" t="s">
        <v>75</v>
      </c>
      <c r="B1" s="4" t="s">
        <v>76</v>
      </c>
      <c r="C1" s="4" t="s">
        <v>84</v>
      </c>
      <c r="D1" s="4" t="s">
        <v>80</v>
      </c>
      <c r="E1" s="4" t="s">
        <v>82</v>
      </c>
      <c r="F1" s="4" t="s">
        <v>83</v>
      </c>
      <c r="G1" s="4" t="s">
        <v>79</v>
      </c>
      <c r="H1" s="4" t="s">
        <v>86</v>
      </c>
      <c r="I1" s="4" t="s">
        <v>89</v>
      </c>
    </row>
    <row r="2" spans="1:12" x14ac:dyDescent="0.25">
      <c r="A2" s="5">
        <v>1</v>
      </c>
      <c r="B2" s="5">
        <v>2</v>
      </c>
      <c r="C2" s="5">
        <v>1</v>
      </c>
      <c r="D2" s="5" t="s">
        <v>81</v>
      </c>
      <c r="E2" s="5">
        <v>8</v>
      </c>
      <c r="F2" s="5">
        <f>E2/2</f>
        <v>4</v>
      </c>
      <c r="G2" s="5" t="str">
        <f>"CD:" &amp; A2 &amp; "-" &amp; B2 &amp; " " &amp; D2 &amp; C2</f>
        <v>CD:1-2 MMF1</v>
      </c>
      <c r="H2" s="7">
        <v>185</v>
      </c>
      <c r="I2" s="5"/>
      <c r="K2" s="6" t="s">
        <v>115</v>
      </c>
      <c r="L2" s="7">
        <f>totalMMF</f>
        <v>1275</v>
      </c>
    </row>
    <row r="3" spans="1:12" x14ac:dyDescent="0.25">
      <c r="A3" s="5">
        <v>2</v>
      </c>
      <c r="B3" s="5">
        <v>3</v>
      </c>
      <c r="C3" s="5">
        <v>2</v>
      </c>
      <c r="D3" s="5" t="s">
        <v>81</v>
      </c>
      <c r="E3" s="5">
        <v>8</v>
      </c>
      <c r="F3" s="5">
        <f t="shared" ref="F3:F25" si="0">E3/2</f>
        <v>4</v>
      </c>
      <c r="G3" s="5" t="str">
        <f t="shared" ref="G3:G10" si="1">"CD:" &amp; A3 &amp; "-" &amp; B3 &amp; " " &amp; D3 &amp; C3</f>
        <v>CD:2-3 MMF2</v>
      </c>
      <c r="H3" s="7">
        <v>85</v>
      </c>
      <c r="I3" s="5"/>
      <c r="K3" s="6" t="s">
        <v>48</v>
      </c>
      <c r="L3" s="7">
        <v>400</v>
      </c>
    </row>
    <row r="4" spans="1:12" x14ac:dyDescent="0.25">
      <c r="A4" s="5">
        <v>3</v>
      </c>
      <c r="B4" s="5">
        <v>4</v>
      </c>
      <c r="C4" s="5">
        <v>3</v>
      </c>
      <c r="D4" s="5" t="s">
        <v>81</v>
      </c>
      <c r="E4" s="5">
        <v>8</v>
      </c>
      <c r="F4" s="5">
        <f t="shared" si="0"/>
        <v>4</v>
      </c>
      <c r="G4" s="5" t="str">
        <f t="shared" si="1"/>
        <v>CD:3-4 MMF3</v>
      </c>
      <c r="H4" s="7">
        <v>125</v>
      </c>
      <c r="I4" s="5"/>
      <c r="K4" s="6" t="s">
        <v>49</v>
      </c>
      <c r="L4" s="5">
        <f>ROUNDUP(L2/L3,0)</f>
        <v>4</v>
      </c>
    </row>
    <row r="5" spans="1:12" x14ac:dyDescent="0.25">
      <c r="A5" s="5">
        <v>4</v>
      </c>
      <c r="B5" s="5">
        <v>5</v>
      </c>
      <c r="C5" s="5">
        <v>4</v>
      </c>
      <c r="D5" s="5" t="s">
        <v>81</v>
      </c>
      <c r="E5" s="5">
        <v>8</v>
      </c>
      <c r="F5" s="5">
        <f t="shared" si="0"/>
        <v>4</v>
      </c>
      <c r="G5" s="5" t="str">
        <f t="shared" si="1"/>
        <v>CD:4-5 MMF4</v>
      </c>
      <c r="H5" s="7">
        <v>105</v>
      </c>
      <c r="I5" s="5"/>
      <c r="K5" s="6" t="s">
        <v>50</v>
      </c>
      <c r="L5" s="8">
        <v>70</v>
      </c>
    </row>
    <row r="6" spans="1:12" x14ac:dyDescent="0.25">
      <c r="A6" s="5">
        <v>5</v>
      </c>
      <c r="B6" s="5">
        <v>6</v>
      </c>
      <c r="C6" s="5">
        <v>5</v>
      </c>
      <c r="D6" s="5" t="s">
        <v>81</v>
      </c>
      <c r="E6" s="5">
        <v>8</v>
      </c>
      <c r="F6" s="5">
        <f t="shared" si="0"/>
        <v>4</v>
      </c>
      <c r="G6" s="5" t="str">
        <f t="shared" si="1"/>
        <v>CD:5-6 MMF5</v>
      </c>
      <c r="H6" s="7">
        <v>35</v>
      </c>
      <c r="I6" s="5"/>
      <c r="K6" s="6" t="s">
        <v>51</v>
      </c>
      <c r="L6" s="9">
        <v>0.23</v>
      </c>
    </row>
    <row r="7" spans="1:12" x14ac:dyDescent="0.25">
      <c r="A7" s="5">
        <v>6</v>
      </c>
      <c r="B7" s="5">
        <v>7</v>
      </c>
      <c r="C7" s="5">
        <v>6</v>
      </c>
      <c r="D7" s="5" t="s">
        <v>81</v>
      </c>
      <c r="E7" s="5">
        <v>8</v>
      </c>
      <c r="F7" s="5">
        <f t="shared" si="0"/>
        <v>4</v>
      </c>
      <c r="G7" s="5" t="str">
        <f t="shared" si="1"/>
        <v>CD:6-7 MMF6</v>
      </c>
      <c r="H7" s="7">
        <v>40</v>
      </c>
      <c r="I7" s="5"/>
      <c r="K7" s="6" t="s">
        <v>52</v>
      </c>
      <c r="L7" s="8">
        <f>L5*L6</f>
        <v>16.100000000000001</v>
      </c>
    </row>
    <row r="8" spans="1:12" ht="15.75" thickBot="1" x14ac:dyDescent="0.3">
      <c r="A8" s="5">
        <v>7</v>
      </c>
      <c r="B8" s="5">
        <v>8</v>
      </c>
      <c r="C8" s="5">
        <v>7</v>
      </c>
      <c r="D8" s="5" t="s">
        <v>81</v>
      </c>
      <c r="E8" s="5">
        <v>8</v>
      </c>
      <c r="F8" s="5">
        <f t="shared" si="0"/>
        <v>4</v>
      </c>
      <c r="G8" s="5" t="str">
        <f t="shared" si="1"/>
        <v>CD:7-8 MMF7</v>
      </c>
      <c r="H8" s="7">
        <v>20</v>
      </c>
      <c r="I8" s="5"/>
      <c r="K8" s="17" t="s">
        <v>53</v>
      </c>
      <c r="L8" s="18">
        <f>L7+L5</f>
        <v>86.1</v>
      </c>
    </row>
    <row r="9" spans="1:12" ht="15.75" thickBot="1" x14ac:dyDescent="0.3">
      <c r="A9" s="5">
        <v>8</v>
      </c>
      <c r="B9" s="5">
        <v>9</v>
      </c>
      <c r="C9" s="5">
        <v>8</v>
      </c>
      <c r="D9" s="5" t="s">
        <v>81</v>
      </c>
      <c r="E9" s="5">
        <v>8</v>
      </c>
      <c r="F9" s="5">
        <f t="shared" si="0"/>
        <v>4</v>
      </c>
      <c r="G9" s="5" t="str">
        <f t="shared" si="1"/>
        <v>CD:8-9 MMF8</v>
      </c>
      <c r="H9" s="7">
        <v>105</v>
      </c>
      <c r="I9" s="5"/>
      <c r="K9" s="30" t="s">
        <v>54</v>
      </c>
      <c r="L9" s="31">
        <f>L4*L8</f>
        <v>344.4</v>
      </c>
    </row>
    <row r="10" spans="1:12" x14ac:dyDescent="0.25">
      <c r="A10" s="5">
        <v>9</v>
      </c>
      <c r="B10" s="5">
        <v>10</v>
      </c>
      <c r="C10" s="5">
        <v>9</v>
      </c>
      <c r="D10" s="5" t="s">
        <v>81</v>
      </c>
      <c r="E10" s="5">
        <v>8</v>
      </c>
      <c r="F10" s="5">
        <f t="shared" si="0"/>
        <v>4</v>
      </c>
      <c r="G10" s="5" t="str">
        <f t="shared" si="1"/>
        <v>CD:9-10 MMF9</v>
      </c>
      <c r="H10" s="7">
        <v>65</v>
      </c>
      <c r="I10" s="5"/>
    </row>
    <row r="11" spans="1:12" x14ac:dyDescent="0.25">
      <c r="A11" s="5">
        <v>2</v>
      </c>
      <c r="B11" s="5">
        <v>7</v>
      </c>
      <c r="C11" s="5">
        <v>10</v>
      </c>
      <c r="D11" s="5" t="s">
        <v>81</v>
      </c>
      <c r="E11" s="5">
        <v>8</v>
      </c>
      <c r="F11" s="5">
        <f t="shared" si="0"/>
        <v>4</v>
      </c>
      <c r="G11" s="5" t="str">
        <f t="shared" ref="G11:G25" si="2">"CD:" &amp; A11 &amp; "-" &amp; B11 &amp; " " &amp; D11 &amp; C11</f>
        <v>CD:2-7 MMF10</v>
      </c>
      <c r="H11" s="7">
        <v>340</v>
      </c>
      <c r="I11" s="5"/>
      <c r="K11" s="6" t="s">
        <v>116</v>
      </c>
      <c r="L11" s="7">
        <f>totalCD</f>
        <v>1275</v>
      </c>
    </row>
    <row r="12" spans="1:12" ht="15.75" thickBot="1" x14ac:dyDescent="0.3">
      <c r="A12" s="5">
        <v>4</v>
      </c>
      <c r="B12" s="5">
        <v>9</v>
      </c>
      <c r="C12" s="5">
        <v>11</v>
      </c>
      <c r="D12" s="5" t="s">
        <v>81</v>
      </c>
      <c r="E12" s="5">
        <v>8</v>
      </c>
      <c r="F12" s="5">
        <f t="shared" si="0"/>
        <v>4</v>
      </c>
      <c r="G12" s="19" t="str">
        <f t="shared" si="2"/>
        <v>CD:4-9 MMF11</v>
      </c>
      <c r="H12" s="23">
        <v>170</v>
      </c>
      <c r="I12" s="19"/>
      <c r="K12" s="6" t="s">
        <v>48</v>
      </c>
      <c r="L12" s="7">
        <v>500</v>
      </c>
    </row>
    <row r="13" spans="1:12" ht="15.75" thickBot="1" x14ac:dyDescent="0.3">
      <c r="G13" s="25" t="s">
        <v>114</v>
      </c>
      <c r="H13" s="26">
        <f>SUM(H2:H12)</f>
        <v>1275</v>
      </c>
      <c r="I13" s="24"/>
      <c r="K13" s="6" t="s">
        <v>49</v>
      </c>
      <c r="L13" s="5">
        <f>ROUNDUP(L11/L12,0)</f>
        <v>3</v>
      </c>
    </row>
    <row r="14" spans="1:12" x14ac:dyDescent="0.25">
      <c r="K14" s="6" t="s">
        <v>50</v>
      </c>
      <c r="L14" s="8">
        <v>60</v>
      </c>
    </row>
    <row r="15" spans="1:12" x14ac:dyDescent="0.25">
      <c r="A15" s="5">
        <v>1</v>
      </c>
      <c r="B15" s="5">
        <v>2</v>
      </c>
      <c r="C15" s="5">
        <v>1</v>
      </c>
      <c r="D15" s="5" t="s">
        <v>87</v>
      </c>
      <c r="E15" s="5">
        <v>8</v>
      </c>
      <c r="F15" s="5">
        <f t="shared" si="0"/>
        <v>4</v>
      </c>
      <c r="G15" s="5" t="str">
        <f t="shared" si="2"/>
        <v>CD:1-2 CD1</v>
      </c>
      <c r="H15" s="5"/>
      <c r="I15" s="7">
        <v>185</v>
      </c>
      <c r="K15" s="6" t="s">
        <v>51</v>
      </c>
      <c r="L15" s="9">
        <v>0.23</v>
      </c>
    </row>
    <row r="16" spans="1:12" x14ac:dyDescent="0.25">
      <c r="A16" s="5">
        <v>2</v>
      </c>
      <c r="B16" s="5">
        <v>3</v>
      </c>
      <c r="C16" s="5">
        <v>2</v>
      </c>
      <c r="D16" s="5" t="s">
        <v>87</v>
      </c>
      <c r="E16" s="5">
        <v>8</v>
      </c>
      <c r="F16" s="5">
        <f t="shared" si="0"/>
        <v>4</v>
      </c>
      <c r="G16" s="5" t="str">
        <f t="shared" si="2"/>
        <v>CD:2-3 CD2</v>
      </c>
      <c r="H16" s="5"/>
      <c r="I16" s="7">
        <v>85</v>
      </c>
      <c r="K16" s="6" t="s">
        <v>52</v>
      </c>
      <c r="L16" s="8">
        <f>L14*L15</f>
        <v>13.8</v>
      </c>
    </row>
    <row r="17" spans="1:12" ht="15.75" thickBot="1" x14ac:dyDescent="0.3">
      <c r="A17" s="5">
        <v>3</v>
      </c>
      <c r="B17" s="5">
        <v>4</v>
      </c>
      <c r="C17" s="5">
        <v>3</v>
      </c>
      <c r="D17" s="5" t="s">
        <v>87</v>
      </c>
      <c r="E17" s="5">
        <v>8</v>
      </c>
      <c r="F17" s="5">
        <f t="shared" si="0"/>
        <v>4</v>
      </c>
      <c r="G17" s="5" t="str">
        <f t="shared" si="2"/>
        <v>CD:3-4 CD3</v>
      </c>
      <c r="H17" s="5"/>
      <c r="I17" s="7">
        <v>125</v>
      </c>
      <c r="K17" s="17" t="s">
        <v>53</v>
      </c>
      <c r="L17" s="18">
        <f>L16+L14</f>
        <v>73.8</v>
      </c>
    </row>
    <row r="18" spans="1:12" ht="15.75" thickBot="1" x14ac:dyDescent="0.3">
      <c r="A18" s="5">
        <v>4</v>
      </c>
      <c r="B18" s="5">
        <v>5</v>
      </c>
      <c r="C18" s="5">
        <v>4</v>
      </c>
      <c r="D18" s="5" t="s">
        <v>87</v>
      </c>
      <c r="E18" s="5">
        <v>8</v>
      </c>
      <c r="F18" s="5">
        <f t="shared" si="0"/>
        <v>4</v>
      </c>
      <c r="G18" s="5" t="str">
        <f t="shared" si="2"/>
        <v>CD:4-5 CD4</v>
      </c>
      <c r="H18" s="5"/>
      <c r="I18" s="7">
        <v>105</v>
      </c>
      <c r="K18" s="30" t="s">
        <v>54</v>
      </c>
      <c r="L18" s="31">
        <f>L13*L17</f>
        <v>221.39999999999998</v>
      </c>
    </row>
    <row r="19" spans="1:12" x14ac:dyDescent="0.25">
      <c r="A19" s="5">
        <v>5</v>
      </c>
      <c r="B19" s="5">
        <v>6</v>
      </c>
      <c r="C19" s="5">
        <v>5</v>
      </c>
      <c r="D19" s="5" t="s">
        <v>87</v>
      </c>
      <c r="E19" s="5">
        <v>8</v>
      </c>
      <c r="F19" s="5">
        <f t="shared" si="0"/>
        <v>4</v>
      </c>
      <c r="G19" s="5" t="str">
        <f t="shared" si="2"/>
        <v>CD:5-6 CD5</v>
      </c>
      <c r="H19" s="5"/>
      <c r="I19" s="7">
        <v>35</v>
      </c>
    </row>
    <row r="20" spans="1:12" x14ac:dyDescent="0.25">
      <c r="A20" s="5">
        <v>6</v>
      </c>
      <c r="B20" s="5">
        <v>7</v>
      </c>
      <c r="C20" s="5">
        <v>6</v>
      </c>
      <c r="D20" s="5" t="s">
        <v>87</v>
      </c>
      <c r="E20" s="5">
        <v>8</v>
      </c>
      <c r="F20" s="5">
        <f t="shared" si="0"/>
        <v>4</v>
      </c>
      <c r="G20" s="5" t="str">
        <f t="shared" si="2"/>
        <v>CD:6-7 CD6</v>
      </c>
      <c r="H20" s="5"/>
      <c r="I20" s="7">
        <v>40</v>
      </c>
    </row>
    <row r="21" spans="1:12" x14ac:dyDescent="0.25">
      <c r="A21" s="5">
        <v>7</v>
      </c>
      <c r="B21" s="5">
        <v>8</v>
      </c>
      <c r="C21" s="5">
        <v>7</v>
      </c>
      <c r="D21" s="5" t="s">
        <v>87</v>
      </c>
      <c r="E21" s="5">
        <v>8</v>
      </c>
      <c r="F21" s="5">
        <f t="shared" si="0"/>
        <v>4</v>
      </c>
      <c r="G21" s="5" t="str">
        <f t="shared" si="2"/>
        <v>CD:7-8 CD7</v>
      </c>
      <c r="H21" s="5"/>
      <c r="I21" s="7">
        <v>20</v>
      </c>
    </row>
    <row r="22" spans="1:12" x14ac:dyDescent="0.25">
      <c r="A22" s="5">
        <v>8</v>
      </c>
      <c r="B22" s="5">
        <v>9</v>
      </c>
      <c r="C22" s="5">
        <v>8</v>
      </c>
      <c r="D22" s="5" t="s">
        <v>87</v>
      </c>
      <c r="E22" s="5">
        <v>8</v>
      </c>
      <c r="F22" s="5">
        <f t="shared" si="0"/>
        <v>4</v>
      </c>
      <c r="G22" s="5" t="str">
        <f t="shared" si="2"/>
        <v>CD:8-9 CD8</v>
      </c>
      <c r="H22" s="5"/>
      <c r="I22" s="7">
        <v>105</v>
      </c>
    </row>
    <row r="23" spans="1:12" x14ac:dyDescent="0.25">
      <c r="A23" s="5">
        <v>9</v>
      </c>
      <c r="B23" s="5">
        <v>10</v>
      </c>
      <c r="C23" s="5">
        <v>9</v>
      </c>
      <c r="D23" s="5" t="s">
        <v>87</v>
      </c>
      <c r="E23" s="5">
        <v>8</v>
      </c>
      <c r="F23" s="5">
        <f t="shared" si="0"/>
        <v>4</v>
      </c>
      <c r="G23" s="5" t="str">
        <f t="shared" si="2"/>
        <v>CD:9-10 CD9</v>
      </c>
      <c r="H23" s="5"/>
      <c r="I23" s="7">
        <v>65</v>
      </c>
    </row>
    <row r="24" spans="1:12" x14ac:dyDescent="0.25">
      <c r="A24" s="5">
        <v>2</v>
      </c>
      <c r="B24" s="5">
        <v>7</v>
      </c>
      <c r="C24" s="5">
        <v>10</v>
      </c>
      <c r="D24" s="5" t="s">
        <v>87</v>
      </c>
      <c r="E24" s="5">
        <v>8</v>
      </c>
      <c r="F24" s="5">
        <f t="shared" si="0"/>
        <v>4</v>
      </c>
      <c r="G24" s="5" t="str">
        <f t="shared" si="2"/>
        <v>CD:2-7 CD10</v>
      </c>
      <c r="H24" s="5"/>
      <c r="I24" s="7">
        <v>340</v>
      </c>
    </row>
    <row r="25" spans="1:12" ht="15.75" thickBot="1" x14ac:dyDescent="0.3">
      <c r="A25" s="5">
        <v>4</v>
      </c>
      <c r="B25" s="5">
        <v>9</v>
      </c>
      <c r="C25" s="5">
        <v>11</v>
      </c>
      <c r="D25" s="5" t="s">
        <v>87</v>
      </c>
      <c r="E25" s="5">
        <v>8</v>
      </c>
      <c r="F25" s="5">
        <f t="shared" si="0"/>
        <v>4</v>
      </c>
      <c r="G25" s="19" t="str">
        <f t="shared" si="2"/>
        <v>CD:4-9 CD11</v>
      </c>
      <c r="H25" s="19"/>
      <c r="I25" s="23">
        <v>170</v>
      </c>
    </row>
    <row r="26" spans="1:12" ht="15.75" thickBot="1" x14ac:dyDescent="0.3">
      <c r="G26" s="25" t="s">
        <v>46</v>
      </c>
      <c r="H26" s="26"/>
      <c r="I26" s="27">
        <f>SUM(I15:I25)</f>
        <v>1275</v>
      </c>
    </row>
    <row r="31" spans="1:12" x14ac:dyDescent="0.25">
      <c r="B31" t="s">
        <v>87</v>
      </c>
      <c r="C3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Summary</vt:lpstr>
      <vt:lpstr>FD1A</vt:lpstr>
      <vt:lpstr>FD1B</vt:lpstr>
      <vt:lpstr>BD1</vt:lpstr>
      <vt:lpstr>CD</vt:lpstr>
      <vt:lpstr>total1000mb</vt:lpstr>
      <vt:lpstr>total100mb</vt:lpstr>
      <vt:lpstr>total100Mb1f</vt:lpstr>
      <vt:lpstr>total10mb</vt:lpstr>
      <vt:lpstr>total10Mb1f</vt:lpstr>
      <vt:lpstr>total1Gb1f</vt:lpstr>
      <vt:lpstr>totalCAT6</vt:lpstr>
      <vt:lpstr>totalCAT61F</vt:lpstr>
      <vt:lpstr>totalCAT6GF</vt:lpstr>
      <vt:lpstr>totalCD</vt:lpstr>
      <vt:lpstr>totalMMF</vt:lpstr>
      <vt:lpstr>totalPOTS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ricart</dc:creator>
  <cp:lastModifiedBy>Quentin Ricart</cp:lastModifiedBy>
  <dcterms:created xsi:type="dcterms:W3CDTF">2026-02-02T18:35:52Z</dcterms:created>
  <dcterms:modified xsi:type="dcterms:W3CDTF">2026-02-03T20:57:35Z</dcterms:modified>
</cp:coreProperties>
</file>