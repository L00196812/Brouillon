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C\ATU\nETWORK\CA1\"/>
    </mc:Choice>
  </mc:AlternateContent>
  <xr:revisionPtr revIDLastSave="0" documentId="8_{79683ABB-6B30-45D0-A6E7-17AFA869E57C}" xr6:coauthVersionLast="47" xr6:coauthVersionMax="47" xr10:uidLastSave="{00000000-0000-0000-0000-000000000000}"/>
  <bookViews>
    <workbookView xWindow="71880" yWindow="1500" windowWidth="29040" windowHeight="15720" activeTab="4" xr2:uid="{193D8A1E-66B5-4099-9811-34CB9368E2A0}"/>
  </bookViews>
  <sheets>
    <sheet name="Summary" sheetId="1" r:id="rId1"/>
    <sheet name="FD1A" sheetId="2" r:id="rId2"/>
    <sheet name="FD1B" sheetId="3" r:id="rId3"/>
    <sheet name="BD1" sheetId="4" r:id="rId4"/>
    <sheet name="CD" sheetId="5" r:id="rId5"/>
  </sheets>
  <definedNames>
    <definedName name="total1000mb">FD1A!$L$15</definedName>
    <definedName name="total100mb">FD1A!$K$15</definedName>
    <definedName name="total10mb">FD1A!$J$15</definedName>
    <definedName name="totalCAT6">FD1A!$H$15</definedName>
    <definedName name="totalPOTS">FD1A!$M$15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5" l="1"/>
  <c r="G15" i="5"/>
  <c r="G16" i="5"/>
  <c r="G17" i="5"/>
  <c r="G18" i="5"/>
  <c r="G19" i="5"/>
  <c r="G20" i="5"/>
  <c r="G21" i="5"/>
  <c r="G22" i="5"/>
  <c r="G23" i="5"/>
  <c r="G24" i="5"/>
  <c r="F14" i="5"/>
  <c r="F15" i="5"/>
  <c r="F16" i="5"/>
  <c r="F17" i="5"/>
  <c r="F18" i="5"/>
  <c r="F19" i="5"/>
  <c r="F20" i="5"/>
  <c r="F21" i="5"/>
  <c r="F22" i="5"/>
  <c r="F23" i="5"/>
  <c r="F24" i="5"/>
  <c r="F11" i="5"/>
  <c r="G11" i="5"/>
  <c r="F12" i="5"/>
  <c r="G12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G2" i="5"/>
  <c r="H4" i="5"/>
  <c r="F2" i="5"/>
  <c r="K2" i="4"/>
  <c r="K7" i="4"/>
  <c r="K8" i="4" s="1"/>
  <c r="K4" i="4"/>
  <c r="K9" i="4" s="1"/>
  <c r="H4" i="4"/>
  <c r="G3" i="4"/>
  <c r="F3" i="4"/>
  <c r="G2" i="4"/>
  <c r="F2" i="4"/>
  <c r="P27" i="2"/>
  <c r="P28" i="2" s="1"/>
  <c r="P29" i="2" s="1"/>
  <c r="P24" i="2"/>
  <c r="P22" i="2"/>
  <c r="P21" i="2"/>
  <c r="P20" i="2"/>
  <c r="P19" i="2"/>
  <c r="J15" i="2"/>
  <c r="K15" i="2"/>
  <c r="L15" i="2"/>
  <c r="M15" i="2"/>
  <c r="P12" i="2" a="1"/>
  <c r="P12" i="2" s="1"/>
  <c r="P15" i="2"/>
  <c r="P16" i="2" s="1"/>
  <c r="P8" i="2"/>
  <c r="P9" i="2" s="1"/>
  <c r="H15" i="2"/>
  <c r="P3" i="2" s="1"/>
  <c r="P5" i="2" s="1"/>
  <c r="P10" i="2" s="1"/>
  <c r="D13" i="3"/>
  <c r="D12" i="3"/>
  <c r="D11" i="3"/>
  <c r="D10" i="3"/>
  <c r="D9" i="3"/>
  <c r="D8" i="3"/>
  <c r="D7" i="3"/>
  <c r="D6" i="3"/>
  <c r="D5" i="3"/>
  <c r="D4" i="3"/>
  <c r="D3" i="3"/>
  <c r="D2" i="3"/>
  <c r="D9" i="2"/>
  <c r="D10" i="2"/>
  <c r="D11" i="2"/>
  <c r="D12" i="2"/>
  <c r="D13" i="2"/>
  <c r="D14" i="2"/>
  <c r="D6" i="2"/>
  <c r="D7" i="2"/>
  <c r="D8" i="2"/>
  <c r="D5" i="2"/>
  <c r="D4" i="2"/>
  <c r="D3" i="2"/>
  <c r="P1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<sst xmlns="http://schemas.openxmlformats.org/spreadsheetml/2006/main" count="240" uniqueCount="93">
  <si>
    <t>Site</t>
  </si>
  <si>
    <t>Buildings</t>
  </si>
  <si>
    <t>Floor</t>
  </si>
  <si>
    <t>A</t>
  </si>
  <si>
    <t>B</t>
  </si>
  <si>
    <t>Forecourt</t>
  </si>
  <si>
    <t>Supermarket</t>
  </si>
  <si>
    <t>Building</t>
  </si>
  <si>
    <t>Index</t>
  </si>
  <si>
    <t>001</t>
  </si>
  <si>
    <t>Label</t>
  </si>
  <si>
    <t>Location</t>
  </si>
  <si>
    <t>Counter</t>
  </si>
  <si>
    <t>002</t>
  </si>
  <si>
    <t>Symbol</t>
  </si>
  <si>
    <t>POS</t>
  </si>
  <si>
    <t>Function</t>
  </si>
  <si>
    <t>Length</t>
  </si>
  <si>
    <t>POS 1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</si>
  <si>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</si>
  <si>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</si>
  <si>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</si>
  <si>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</si>
  <si>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</si>
  <si>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</si>
  <si>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</si>
  <si>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</si>
  <si>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</si>
  <si>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</si>
  <si>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CAM</t>
  </si>
  <si>
    <t>POS 2</t>
  </si>
  <si>
    <t>Ceiling</t>
  </si>
  <si>
    <t>CCTV 1</t>
  </si>
  <si>
    <t>CCTV 2</t>
  </si>
  <si>
    <t>AP</t>
  </si>
  <si>
    <t>Wifi</t>
  </si>
  <si>
    <t>Office</t>
  </si>
  <si>
    <t>FA</t>
  </si>
  <si>
    <t>BA</t>
  </si>
  <si>
    <t>Entrance</t>
  </si>
  <si>
    <t>Office Ceiling</t>
  </si>
  <si>
    <t>Back Hall</t>
  </si>
  <si>
    <t>CC Machine</t>
  </si>
  <si>
    <t>CC</t>
  </si>
  <si>
    <t>Counter Ceiling</t>
  </si>
  <si>
    <t>Fire alarm</t>
  </si>
  <si>
    <t>Burglar alarm</t>
  </si>
  <si>
    <t>Computer</t>
  </si>
  <si>
    <t>Phone</t>
  </si>
  <si>
    <t>Total Cable</t>
  </si>
  <si>
    <t>Total CAT6</t>
  </si>
  <si>
    <t>Box</t>
  </si>
  <si>
    <t>No of boxes</t>
  </si>
  <si>
    <t>Net per box</t>
  </si>
  <si>
    <t>VAT rate</t>
  </si>
  <si>
    <t>VAT amount</t>
  </si>
  <si>
    <t>Gross</t>
  </si>
  <si>
    <t>Total price CAT6</t>
  </si>
  <si>
    <t>Test and Service</t>
  </si>
  <si>
    <t>Slow Charge</t>
  </si>
  <si>
    <t>Battery Building 1</t>
  </si>
  <si>
    <t>Battery Building 2</t>
  </si>
  <si>
    <t>Substation 1</t>
  </si>
  <si>
    <t>Substation 2</t>
  </si>
  <si>
    <t>Car wash</t>
  </si>
  <si>
    <t>Switch</t>
  </si>
  <si>
    <t>POTS</t>
  </si>
  <si>
    <t>Total TO</t>
  </si>
  <si>
    <t>Net per TO</t>
  </si>
  <si>
    <t>Total price TO</t>
  </si>
  <si>
    <t>10Mb/s</t>
  </si>
  <si>
    <t>100Mb/s</t>
  </si>
  <si>
    <t>1Gb/s</t>
  </si>
  <si>
    <t>Total Network Port</t>
  </si>
  <si>
    <t>Port per Switch</t>
  </si>
  <si>
    <t>Switches require</t>
  </si>
  <si>
    <t>Net per switch</t>
  </si>
  <si>
    <t>Total price switch</t>
  </si>
  <si>
    <t>From</t>
  </si>
  <si>
    <t>To</t>
  </si>
  <si>
    <t>1A</t>
  </si>
  <si>
    <t>1B</t>
  </si>
  <si>
    <t>Cable Number</t>
  </si>
  <si>
    <t>Type</t>
  </si>
  <si>
    <t>MMF</t>
  </si>
  <si>
    <t>Cores</t>
  </si>
  <si>
    <t>Pairs</t>
  </si>
  <si>
    <t>Cable</t>
  </si>
  <si>
    <t xml:space="preserve">Total </t>
  </si>
  <si>
    <t>Length MMF</t>
  </si>
  <si>
    <t>CD</t>
  </si>
  <si>
    <t>Balance cable</t>
  </si>
  <si>
    <t>Length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</si>
</sst>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€-83C]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textRotation="90"/>
    </xf>
    <xf numFmtId="0" fontId="0" fillId="0" borderId="0" xfId="0" applyAlignment="1">
      <alignment vertical="center"/>
    </xf>
    <xf numFmtId="9" fontId="0" fillId="0" borderId="0" xfId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F0B0-B017-4D38-AC53-9084470ECC17}">
  <dimension ref="A1:K5"/>
  <sheetViews>
    <sheetView workbookViewId="0">
      <selection activeCell="G17" sqref="G17"/>
    </sheetView>
  </sheetViews>
  <sheetFormatPr defaultRowHeight="14.25" x14ac:dyDescent="0.45"/>
  <sheetData>
    <row r="1" spans="1:11" x14ac:dyDescent="0.45">
      <c r="A1" s="5" t="s">
        <v>0</v>
      </c>
    </row>
    <row r="2" spans="1:11" ht="80.650000000000006" x14ac:dyDescent="0.45">
      <c r="A2" s="8"/>
      <c r="B2" s="9" t="s">
        <v>5</v>
      </c>
      <c r="C2" s="9" t="s">
        <v>6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61</v>
      </c>
      <c r="I2" s="9" t="s">
        <v>62</v>
      </c>
      <c r="J2" s="9" t="s">
        <v>63</v>
      </c>
      <c r="K2" s="9" t="s">
        <v>64</v>
      </c>
    </row>
    <row r="3" spans="1:11" x14ac:dyDescent="0.45">
      <c r="A3" s="5" t="s">
        <v>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</row>
    <row r="4" spans="1:11" x14ac:dyDescent="0.45">
      <c r="A4" s="10" t="s">
        <v>2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</row>
    <row r="5" spans="1:11" x14ac:dyDescent="0.45">
      <c r="A5" s="10"/>
      <c r="B5" s="1" t="s">
        <v>4</v>
      </c>
      <c r="C5" s="1"/>
      <c r="D5" s="1"/>
      <c r="E5" s="1"/>
      <c r="F5" s="1"/>
      <c r="G5" s="1"/>
      <c r="H5" s="1"/>
      <c r="I5" s="1"/>
      <c r="J5" s="1"/>
      <c r="K5" s="1"/>
    </row>
  </sheetData>
  <mergeCells count="1"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0C05-3E52-46F8-86D2-03384DF6E22C}">
  <dimension ref="A1:P29"/>
  <sheetViews>
    <sheetView workbookViewId="0">
      <pane ySplit="2" topLeftCell="A3" activePane="bottomLeft" state="frozen"/>
      <selection pane="bottomLeft" activeCell="O3" sqref="O3:P10"/>
    </sheetView>
  </sheetViews>
  <sheetFormatPr defaultRowHeight="14.25" x14ac:dyDescent="0.45"/>
  <cols>
    <col min="1" max="1" width="5.796875" customWidth="1"/>
    <col min="2" max="4" width="5.796875" bestFit="1" customWidth="1"/>
    <col min="5" max="5" width="13.3984375" bestFit="1" customWidth="1"/>
    <col min="6" max="6" width="5.796875" bestFit="1" customWidth="1"/>
    <col min="7" max="7" width="12.33203125" bestFit="1" customWidth="1"/>
    <col min="8" max="8" width="5.796875" bestFit="1" customWidth="1"/>
    <col min="10" max="13" width="5.796875" bestFit="1" customWidth="1"/>
    <col min="15" max="15" width="16.19921875" bestFit="1" customWidth="1"/>
    <col min="16" max="16" width="8.796875" bestFit="1" customWidth="1"/>
  </cols>
  <sheetData>
    <row r="1" spans="1:16" x14ac:dyDescent="0.45">
      <c r="J1" s="2" t="s">
        <v>65</v>
      </c>
      <c r="K1" s="2"/>
      <c r="L1" s="2"/>
      <c r="M1" s="1"/>
    </row>
    <row r="2" spans="1:16" ht="43.15" x14ac:dyDescent="0.45">
      <c r="A2" s="4" t="s">
        <v>7</v>
      </c>
      <c r="B2" s="4" t="s">
        <v>2</v>
      </c>
      <c r="C2" s="4" t="s">
        <v>8</v>
      </c>
      <c r="D2" s="4" t="s">
        <v>10</v>
      </c>
      <c r="E2" s="4" t="s">
        <v>11</v>
      </c>
      <c r="F2" s="4" t="s">
        <v>14</v>
      </c>
      <c r="G2" s="4" t="s">
        <v>16</v>
      </c>
      <c r="H2" s="4" t="s">
        <v>17</v>
      </c>
      <c r="J2" s="4">
        <v>10</v>
      </c>
      <c r="K2" s="4">
        <v>100</v>
      </c>
      <c r="L2" s="4">
        <v>1000</v>
      </c>
      <c r="M2" s="4" t="s">
        <v>66</v>
      </c>
    </row>
    <row r="3" spans="1:16" x14ac:dyDescent="0.45">
      <c r="A3">
        <v>1</v>
      </c>
      <c r="B3" t="s">
        <v>3</v>
      </c>
      <c r="C3" s="3" t="s">
        <v>9</v>
      </c>
      <c r="D3" t="str">
        <f>A3 &amp; B3 &amp; C3</f>
        <v>1A001</v>
      </c>
      <c r="E3" t="s">
        <v>12</v>
      </c>
      <c r="F3" t="s">
        <v>15</v>
      </c>
      <c r="G3" t="s">
        <v>18</v>
      </c>
      <c r="H3">
        <v>45</v>
      </c>
      <c r="K3">
        <v>1</v>
      </c>
      <c r="O3" t="s">
        <v>50</v>
      </c>
      <c r="P3">
        <f>totalCAT6</f>
        <v>215</v>
      </c>
    </row>
    <row r="4" spans="1:16" x14ac:dyDescent="0.45">
      <c r="A4">
        <v>1</v>
      </c>
      <c r="B4" t="s">
        <v>3</v>
      </c>
      <c r="C4" s="3" t="s">
        <v>13</v>
      </c>
      <c r="D4" t="str">
        <f>A4 &amp; B4 &amp; C4</f>
        <v>1A002</v>
      </c>
      <c r="E4" t="s">
        <v>12</v>
      </c>
      <c r="F4" t="s">
        <v>43</v>
      </c>
      <c r="G4" t="s">
        <v>42</v>
      </c>
      <c r="J4">
        <v>1</v>
      </c>
      <c r="O4" t="s">
        <v>51</v>
      </c>
      <c r="P4">
        <v>300</v>
      </c>
    </row>
    <row r="5" spans="1:16" x14ac:dyDescent="0.45">
      <c r="A5">
        <v>1</v>
      </c>
      <c r="B5" t="s">
        <v>3</v>
      </c>
      <c r="C5" s="3" t="s">
        <v>19</v>
      </c>
      <c r="D5" t="str">
        <f>A5 &amp; B5 &amp; C5</f>
        <v>1A003</v>
      </c>
      <c r="E5" t="s">
        <v>12</v>
      </c>
      <c r="F5" t="s">
        <v>15</v>
      </c>
      <c r="G5" t="s">
        <v>30</v>
      </c>
      <c r="H5">
        <v>40</v>
      </c>
      <c r="K5">
        <v>1</v>
      </c>
      <c r="O5" t="s">
        <v>52</v>
      </c>
      <c r="P5">
        <f>ROUNDUP(P3/P4,0)</f>
        <v>1</v>
      </c>
    </row>
    <row r="6" spans="1:16" x14ac:dyDescent="0.45">
      <c r="A6">
        <v>1</v>
      </c>
      <c r="B6" t="s">
        <v>3</v>
      </c>
      <c r="C6" s="3" t="s">
        <v>20</v>
      </c>
      <c r="D6" t="str">
        <f t="shared" ref="D6:D14" si="0">A6 &amp; B6 &amp; C6</f>
        <v>1A004</v>
      </c>
      <c r="E6" t="s">
        <v>12</v>
      </c>
      <c r="F6" t="s">
        <v>43</v>
      </c>
      <c r="G6" t="s">
        <v>42</v>
      </c>
      <c r="J6">
        <v>1</v>
      </c>
      <c r="O6" t="s">
        <v>53</v>
      </c>
      <c r="P6" s="7">
        <v>48</v>
      </c>
    </row>
    <row r="7" spans="1:16" x14ac:dyDescent="0.45">
      <c r="A7">
        <v>1</v>
      </c>
      <c r="B7" t="s">
        <v>3</v>
      </c>
      <c r="C7" s="3" t="s">
        <v>21</v>
      </c>
      <c r="D7" t="str">
        <f t="shared" si="0"/>
        <v>1A005</v>
      </c>
      <c r="E7" t="s">
        <v>31</v>
      </c>
      <c r="F7" t="s">
        <v>29</v>
      </c>
      <c r="G7" t="s">
        <v>32</v>
      </c>
      <c r="H7">
        <v>70</v>
      </c>
      <c r="K7">
        <v>1</v>
      </c>
      <c r="O7" t="s">
        <v>54</v>
      </c>
      <c r="P7" s="6">
        <v>0.23</v>
      </c>
    </row>
    <row r="8" spans="1:16" x14ac:dyDescent="0.45">
      <c r="A8">
        <v>1</v>
      </c>
      <c r="B8" t="s">
        <v>3</v>
      </c>
      <c r="C8" s="3" t="s">
        <v>22</v>
      </c>
      <c r="D8" t="str">
        <f t="shared" si="0"/>
        <v>1A006</v>
      </c>
      <c r="E8" t="s">
        <v>31</v>
      </c>
      <c r="F8" t="s">
        <v>29</v>
      </c>
      <c r="G8" t="s">
        <v>33</v>
      </c>
      <c r="H8">
        <v>60</v>
      </c>
      <c r="K8">
        <v>1</v>
      </c>
      <c r="O8" t="s">
        <v>55</v>
      </c>
      <c r="P8" s="7">
        <f>P6*P7</f>
        <v>11.040000000000001</v>
      </c>
    </row>
    <row r="9" spans="1:16" x14ac:dyDescent="0.45">
      <c r="A9">
        <v>1</v>
      </c>
      <c r="B9" t="s">
        <v>3</v>
      </c>
      <c r="C9" s="3" t="s">
        <v>23</v>
      </c>
      <c r="D9" t="str">
        <f t="shared" si="0"/>
        <v>1A007</v>
      </c>
      <c r="E9" t="s">
        <v>40</v>
      </c>
      <c r="F9" t="s">
        <v>34</v>
      </c>
      <c r="G9" t="s">
        <v>35</v>
      </c>
      <c r="L9">
        <v>1</v>
      </c>
      <c r="O9" t="s">
        <v>56</v>
      </c>
      <c r="P9" s="7">
        <f>P8+P6</f>
        <v>59.04</v>
      </c>
    </row>
    <row r="10" spans="1:16" x14ac:dyDescent="0.45">
      <c r="A10">
        <v>1</v>
      </c>
      <c r="B10" t="s">
        <v>3</v>
      </c>
      <c r="C10" s="3" t="s">
        <v>24</v>
      </c>
      <c r="D10" t="str">
        <f t="shared" si="0"/>
        <v>1A008</v>
      </c>
      <c r="E10" t="s">
        <v>44</v>
      </c>
      <c r="F10" t="s">
        <v>34</v>
      </c>
      <c r="G10" t="s">
        <v>35</v>
      </c>
      <c r="L10">
        <v>1</v>
      </c>
      <c r="O10" t="s">
        <v>57</v>
      </c>
      <c r="P10" s="7">
        <f>P5*P9</f>
        <v>59.04</v>
      </c>
    </row>
    <row r="11" spans="1:16" x14ac:dyDescent="0.45">
      <c r="A11">
        <v>1</v>
      </c>
      <c r="B11" t="s">
        <v>3</v>
      </c>
      <c r="C11" s="3" t="s">
        <v>25</v>
      </c>
      <c r="D11" t="str">
        <f t="shared" si="0"/>
        <v>1A009</v>
      </c>
      <c r="E11" t="s">
        <v>41</v>
      </c>
      <c r="F11" t="s">
        <v>37</v>
      </c>
      <c r="G11" t="s">
        <v>45</v>
      </c>
      <c r="K11">
        <v>1</v>
      </c>
      <c r="M11">
        <v>1</v>
      </c>
    </row>
    <row r="12" spans="1:16" x14ac:dyDescent="0.45">
      <c r="A12">
        <v>1</v>
      </c>
      <c r="B12" t="s">
        <v>3</v>
      </c>
      <c r="C12" s="3" t="s">
        <v>26</v>
      </c>
      <c r="D12" t="str">
        <f t="shared" si="0"/>
        <v>1A010</v>
      </c>
      <c r="E12" t="s">
        <v>39</v>
      </c>
      <c r="F12" t="s">
        <v>38</v>
      </c>
      <c r="G12" t="s">
        <v>46</v>
      </c>
      <c r="K12">
        <v>1</v>
      </c>
      <c r="M12">
        <v>1</v>
      </c>
      <c r="O12" t="s">
        <v>67</v>
      </c>
      <c r="P12" cm="1">
        <f t="array" ref="P12">MAX(VALUE(C3:C14))</f>
        <v>12</v>
      </c>
    </row>
    <row r="13" spans="1:16" x14ac:dyDescent="0.45">
      <c r="A13">
        <v>1</v>
      </c>
      <c r="B13" t="s">
        <v>3</v>
      </c>
      <c r="C13" s="3" t="s">
        <v>27</v>
      </c>
      <c r="D13" t="str">
        <f t="shared" si="0"/>
        <v>1A011</v>
      </c>
      <c r="E13" t="s">
        <v>36</v>
      </c>
      <c r="G13" t="s">
        <v>47</v>
      </c>
      <c r="K13">
        <v>1</v>
      </c>
      <c r="O13" t="s">
        <v>68</v>
      </c>
      <c r="P13" s="7">
        <v>100</v>
      </c>
    </row>
    <row r="14" spans="1:16" x14ac:dyDescent="0.45">
      <c r="A14">
        <v>1</v>
      </c>
      <c r="B14" t="s">
        <v>3</v>
      </c>
      <c r="C14" s="3" t="s">
        <v>28</v>
      </c>
      <c r="D14" t="str">
        <f t="shared" si="0"/>
        <v>1A012</v>
      </c>
      <c r="E14" t="s">
        <v>36</v>
      </c>
      <c r="G14" t="s">
        <v>48</v>
      </c>
      <c r="M14">
        <v>1</v>
      </c>
      <c r="O14" t="s">
        <v>54</v>
      </c>
      <c r="P14" s="6">
        <v>0.23</v>
      </c>
    </row>
    <row r="15" spans="1:16" x14ac:dyDescent="0.45">
      <c r="C15" s="3"/>
      <c r="G15" t="s">
        <v>49</v>
      </c>
      <c r="H15">
        <f>SUM(H3:H14)</f>
        <v>215</v>
      </c>
      <c r="J15">
        <f t="shared" ref="J15:M15" si="1">SUM(J3:J14)</f>
        <v>2</v>
      </c>
      <c r="K15">
        <f t="shared" si="1"/>
        <v>7</v>
      </c>
      <c r="L15">
        <f t="shared" si="1"/>
        <v>2</v>
      </c>
      <c r="M15">
        <f t="shared" si="1"/>
        <v>3</v>
      </c>
      <c r="O15" t="s">
        <v>55</v>
      </c>
      <c r="P15" s="7">
        <f>P13*P14</f>
        <v>23</v>
      </c>
    </row>
    <row r="16" spans="1:16" x14ac:dyDescent="0.45">
      <c r="C16" s="3"/>
      <c r="O16" t="s">
        <v>56</v>
      </c>
      <c r="P16" s="7">
        <f>P15+P13</f>
        <v>123</v>
      </c>
    </row>
    <row r="17" spans="15:16" x14ac:dyDescent="0.45">
      <c r="O17" t="s">
        <v>69</v>
      </c>
      <c r="P17" s="7">
        <f>P12*P16</f>
        <v>1476</v>
      </c>
    </row>
    <row r="19" spans="15:16" x14ac:dyDescent="0.45">
      <c r="O19" t="s">
        <v>70</v>
      </c>
      <c r="P19">
        <f>total10mb</f>
        <v>2</v>
      </c>
    </row>
    <row r="20" spans="15:16" x14ac:dyDescent="0.45">
      <c r="O20" t="s">
        <v>71</v>
      </c>
      <c r="P20">
        <f>total100mb</f>
        <v>7</v>
      </c>
    </row>
    <row r="21" spans="15:16" x14ac:dyDescent="0.45">
      <c r="O21" t="s">
        <v>72</v>
      </c>
      <c r="P21">
        <f>total1000mb</f>
        <v>2</v>
      </c>
    </row>
    <row r="22" spans="15:16" x14ac:dyDescent="0.45">
      <c r="O22" t="s">
        <v>73</v>
      </c>
      <c r="P22">
        <f>SUM(P19:P21)</f>
        <v>11</v>
      </c>
    </row>
    <row r="23" spans="15:16" x14ac:dyDescent="0.45">
      <c r="O23" t="s">
        <v>74</v>
      </c>
      <c r="P23">
        <v>24</v>
      </c>
    </row>
    <row r="24" spans="15:16" x14ac:dyDescent="0.45">
      <c r="O24" t="s">
        <v>75</v>
      </c>
      <c r="P24">
        <f>ROUNDUP(P22/P23,0)</f>
        <v>1</v>
      </c>
    </row>
    <row r="25" spans="15:16" x14ac:dyDescent="0.45">
      <c r="O25" t="s">
        <v>76</v>
      </c>
      <c r="P25" s="7">
        <v>1500</v>
      </c>
    </row>
    <row r="26" spans="15:16" x14ac:dyDescent="0.45">
      <c r="O26" t="s">
        <v>54</v>
      </c>
      <c r="P26" s="6">
        <v>0.23</v>
      </c>
    </row>
    <row r="27" spans="15:16" x14ac:dyDescent="0.45">
      <c r="O27" t="s">
        <v>55</v>
      </c>
      <c r="P27" s="7">
        <f>P25*P26</f>
        <v>345</v>
      </c>
    </row>
    <row r="28" spans="15:16" x14ac:dyDescent="0.45">
      <c r="O28" t="s">
        <v>56</v>
      </c>
      <c r="P28" s="7">
        <f>P27+P25</f>
        <v>1845</v>
      </c>
    </row>
    <row r="29" spans="15:16" x14ac:dyDescent="0.45">
      <c r="O29" t="s">
        <v>77</v>
      </c>
      <c r="P29" s="7">
        <f>P24*P28</f>
        <v>1845</v>
      </c>
    </row>
  </sheetData>
  <mergeCells count="1">
    <mergeCell ref="J1:L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417D-1F12-447D-BBCD-43485CD356E4}">
  <dimension ref="A1:H13"/>
  <sheetViews>
    <sheetView workbookViewId="0">
      <selection activeCell="B3" sqref="B3:B13"/>
    </sheetView>
  </sheetViews>
  <sheetFormatPr defaultRowHeight="14.25" x14ac:dyDescent="0.45"/>
  <sheetData>
    <row r="1" spans="1:8" ht="43.15" x14ac:dyDescent="0.45">
      <c r="A1" s="4" t="s">
        <v>7</v>
      </c>
      <c r="B1" s="4" t="s">
        <v>2</v>
      </c>
      <c r="C1" s="4" t="s">
        <v>8</v>
      </c>
      <c r="D1" s="4" t="s">
        <v>10</v>
      </c>
      <c r="E1" s="4" t="s">
        <v>11</v>
      </c>
      <c r="F1" s="4" t="s">
        <v>14</v>
      </c>
      <c r="G1" s="4" t="s">
        <v>16</v>
      </c>
      <c r="H1" s="4" t="s">
        <v>17</v>
      </c>
    </row>
    <row r="2" spans="1:8" x14ac:dyDescent="0.45">
      <c r="A2">
        <v>1</v>
      </c>
      <c r="B2" t="s">
        <v>4</v>
      </c>
      <c r="C2" s="3" t="s">
        <v>9</v>
      </c>
      <c r="D2" t="str">
        <f>A2 &amp; B2 &amp; C2</f>
        <v>1B001</v>
      </c>
      <c r="E2" t="s">
        <v>12</v>
      </c>
      <c r="F2" t="s">
        <v>15</v>
      </c>
      <c r="G2" t="s">
        <v>18</v>
      </c>
      <c r="H2">
        <v>45</v>
      </c>
    </row>
    <row r="3" spans="1:8" x14ac:dyDescent="0.45">
      <c r="A3">
        <v>1</v>
      </c>
      <c r="B3" t="s">
        <v>4</v>
      </c>
      <c r="C3" s="3" t="s">
        <v>13</v>
      </c>
      <c r="D3" t="str">
        <f>A3 &amp; B3 &amp; C3</f>
        <v>1B002</v>
      </c>
      <c r="E3" t="s">
        <v>12</v>
      </c>
      <c r="F3" t="s">
        <v>43</v>
      </c>
      <c r="G3" t="s">
        <v>42</v>
      </c>
    </row>
    <row r="4" spans="1:8" x14ac:dyDescent="0.45">
      <c r="A4">
        <v>1</v>
      </c>
      <c r="B4" t="s">
        <v>4</v>
      </c>
      <c r="C4" s="3" t="s">
        <v>19</v>
      </c>
      <c r="D4" t="str">
        <f>A4 &amp; B4 &amp; C4</f>
        <v>1B003</v>
      </c>
      <c r="E4" t="s">
        <v>12</v>
      </c>
      <c r="F4" t="s">
        <v>15</v>
      </c>
      <c r="G4" t="s">
        <v>30</v>
      </c>
      <c r="H4">
        <v>40</v>
      </c>
    </row>
    <row r="5" spans="1:8" x14ac:dyDescent="0.45">
      <c r="A5">
        <v>1</v>
      </c>
      <c r="B5" t="s">
        <v>4</v>
      </c>
      <c r="C5" s="3" t="s">
        <v>20</v>
      </c>
      <c r="D5" t="str">
        <f t="shared" ref="D5:D13" si="0">A5 &amp; B5 &amp; C5</f>
        <v>1B004</v>
      </c>
      <c r="E5" t="s">
        <v>12</v>
      </c>
      <c r="F5" t="s">
        <v>43</v>
      </c>
      <c r="G5" t="s">
        <v>42</v>
      </c>
    </row>
    <row r="6" spans="1:8" x14ac:dyDescent="0.45">
      <c r="A6">
        <v>1</v>
      </c>
      <c r="B6" t="s">
        <v>4</v>
      </c>
      <c r="C6" s="3" t="s">
        <v>21</v>
      </c>
      <c r="D6" t="str">
        <f t="shared" si="0"/>
        <v>1B005</v>
      </c>
      <c r="E6" t="s">
        <v>31</v>
      </c>
      <c r="F6" t="s">
        <v>29</v>
      </c>
      <c r="G6" t="s">
        <v>32</v>
      </c>
      <c r="H6">
        <v>70</v>
      </c>
    </row>
    <row r="7" spans="1:8" x14ac:dyDescent="0.45">
      <c r="A7">
        <v>1</v>
      </c>
      <c r="B7" t="s">
        <v>4</v>
      </c>
      <c r="C7" s="3" t="s">
        <v>22</v>
      </c>
      <c r="D7" t="str">
        <f t="shared" si="0"/>
        <v>1B006</v>
      </c>
      <c r="E7" t="s">
        <v>31</v>
      </c>
      <c r="F7" t="s">
        <v>29</v>
      </c>
      <c r="G7" t="s">
        <v>33</v>
      </c>
      <c r="H7">
        <v>60</v>
      </c>
    </row>
    <row r="8" spans="1:8" x14ac:dyDescent="0.45">
      <c r="A8">
        <v>1</v>
      </c>
      <c r="B8" t="s">
        <v>4</v>
      </c>
      <c r="C8" s="3" t="s">
        <v>23</v>
      </c>
      <c r="D8" t="str">
        <f t="shared" si="0"/>
        <v>1B007</v>
      </c>
      <c r="E8" t="s">
        <v>40</v>
      </c>
      <c r="F8" t="s">
        <v>34</v>
      </c>
      <c r="G8" t="s">
        <v>35</v>
      </c>
    </row>
    <row r="9" spans="1:8" x14ac:dyDescent="0.45">
      <c r="A9">
        <v>1</v>
      </c>
      <c r="B9" t="s">
        <v>4</v>
      </c>
      <c r="C9" s="3" t="s">
        <v>24</v>
      </c>
      <c r="D9" t="str">
        <f t="shared" si="0"/>
        <v>1B008</v>
      </c>
      <c r="E9" t="s">
        <v>44</v>
      </c>
      <c r="F9" t="s">
        <v>34</v>
      </c>
      <c r="G9" t="s">
        <v>35</v>
      </c>
    </row>
    <row r="10" spans="1:8" x14ac:dyDescent="0.45">
      <c r="A10">
        <v>1</v>
      </c>
      <c r="B10" t="s">
        <v>4</v>
      </c>
      <c r="C10" s="3" t="s">
        <v>25</v>
      </c>
      <c r="D10" t="str">
        <f t="shared" si="0"/>
        <v>1B009</v>
      </c>
      <c r="E10" t="s">
        <v>41</v>
      </c>
      <c r="F10" t="s">
        <v>37</v>
      </c>
      <c r="G10" t="s">
        <v>45</v>
      </c>
    </row>
    <row r="11" spans="1:8" x14ac:dyDescent="0.45">
      <c r="A11">
        <v>1</v>
      </c>
      <c r="B11" t="s">
        <v>4</v>
      </c>
      <c r="C11" s="3" t="s">
        <v>26</v>
      </c>
      <c r="D11" t="str">
        <f t="shared" si="0"/>
        <v>1B010</v>
      </c>
      <c r="E11" t="s">
        <v>39</v>
      </c>
      <c r="F11" t="s">
        <v>38</v>
      </c>
      <c r="G11" t="s">
        <v>46</v>
      </c>
    </row>
    <row r="12" spans="1:8" x14ac:dyDescent="0.45">
      <c r="A12">
        <v>1</v>
      </c>
      <c r="B12" t="s">
        <v>4</v>
      </c>
      <c r="C12" s="3" t="s">
        <v>27</v>
      </c>
      <c r="D12" t="str">
        <f t="shared" si="0"/>
        <v>1B011</v>
      </c>
      <c r="E12" t="s">
        <v>36</v>
      </c>
      <c r="G12" t="s">
        <v>47</v>
      </c>
    </row>
    <row r="13" spans="1:8" x14ac:dyDescent="0.45">
      <c r="A13">
        <v>1</v>
      </c>
      <c r="B13" t="s">
        <v>4</v>
      </c>
      <c r="C13" s="3" t="s">
        <v>28</v>
      </c>
      <c r="D13" t="str">
        <f t="shared" si="0"/>
        <v>1B012</v>
      </c>
      <c r="E13" t="s">
        <v>36</v>
      </c>
      <c r="G1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9CEA-FC8C-4A8D-97E3-C63A75720467}">
  <dimension ref="A1:K9"/>
  <sheetViews>
    <sheetView workbookViewId="0">
      <selection sqref="A1:H4"/>
    </sheetView>
  </sheetViews>
  <sheetFormatPr defaultColWidth="9.19921875" defaultRowHeight="14.25" x14ac:dyDescent="0.45"/>
  <cols>
    <col min="1" max="6" width="5.796875" bestFit="1" customWidth="1"/>
    <col min="7" max="7" width="13.6640625" bestFit="1" customWidth="1"/>
    <col min="8" max="8" width="5.796875" bestFit="1" customWidth="1"/>
  </cols>
  <sheetData>
    <row r="1" spans="1:11" ht="67.150000000000006" x14ac:dyDescent="0.45">
      <c r="A1" s="4" t="s">
        <v>78</v>
      </c>
      <c r="B1" s="4" t="s">
        <v>79</v>
      </c>
      <c r="C1" s="4" t="s">
        <v>87</v>
      </c>
      <c r="D1" s="4" t="s">
        <v>83</v>
      </c>
      <c r="E1" s="4" t="s">
        <v>85</v>
      </c>
      <c r="F1" s="4" t="s">
        <v>86</v>
      </c>
      <c r="G1" s="4" t="s">
        <v>82</v>
      </c>
      <c r="H1" s="4" t="s">
        <v>17</v>
      </c>
    </row>
    <row r="2" spans="1:11" x14ac:dyDescent="0.45">
      <c r="A2" t="s">
        <v>80</v>
      </c>
      <c r="B2" t="s">
        <v>81</v>
      </c>
      <c r="C2">
        <v>1</v>
      </c>
      <c r="D2" t="s">
        <v>84</v>
      </c>
      <c r="E2">
        <v>8</v>
      </c>
      <c r="F2">
        <f>E2/2</f>
        <v>4</v>
      </c>
      <c r="G2" t="str">
        <f>"BD:" &amp; A2 &amp; "-" &amp; B2 &amp; " " &amp; D2 &amp; C2</f>
        <v>BD:1A-1B MMF1</v>
      </c>
      <c r="H2">
        <v>10</v>
      </c>
      <c r="J2" t="s">
        <v>50</v>
      </c>
      <c r="K2">
        <f>H4</f>
        <v>20</v>
      </c>
    </row>
    <row r="3" spans="1:11" x14ac:dyDescent="0.45">
      <c r="A3" t="s">
        <v>80</v>
      </c>
      <c r="B3" t="s">
        <v>81</v>
      </c>
      <c r="C3">
        <v>2</v>
      </c>
      <c r="D3" t="s">
        <v>84</v>
      </c>
      <c r="E3">
        <v>9</v>
      </c>
      <c r="F3">
        <f>E3/2</f>
        <v>4.5</v>
      </c>
      <c r="G3" t="str">
        <f>"BD:" &amp; A3 &amp; "-" &amp; B3 &amp; " " &amp; D3 &amp; C3</f>
        <v>BD:1A-1B MMF2</v>
      </c>
      <c r="H3">
        <v>10</v>
      </c>
      <c r="J3" t="s">
        <v>51</v>
      </c>
      <c r="K3">
        <v>300</v>
      </c>
    </row>
    <row r="4" spans="1:11" x14ac:dyDescent="0.45">
      <c r="G4" t="s">
        <v>88</v>
      </c>
      <c r="H4">
        <f>SUM(H2:H3)</f>
        <v>20</v>
      </c>
      <c r="J4" t="s">
        <v>52</v>
      </c>
      <c r="K4">
        <f>ROUNDUP(K2/K3,0)</f>
        <v>1</v>
      </c>
    </row>
    <row r="5" spans="1:11" x14ac:dyDescent="0.45">
      <c r="J5" t="s">
        <v>53</v>
      </c>
      <c r="K5" s="7">
        <v>48</v>
      </c>
    </row>
    <row r="6" spans="1:11" x14ac:dyDescent="0.45">
      <c r="J6" t="s">
        <v>54</v>
      </c>
      <c r="K6" s="6">
        <v>0.23</v>
      </c>
    </row>
    <row r="7" spans="1:11" x14ac:dyDescent="0.45">
      <c r="J7" t="s">
        <v>55</v>
      </c>
      <c r="K7" s="7">
        <f>K5*K6</f>
        <v>11.040000000000001</v>
      </c>
    </row>
    <row r="8" spans="1:11" x14ac:dyDescent="0.45">
      <c r="J8" t="s">
        <v>56</v>
      </c>
      <c r="K8" s="7">
        <f>K7+K5</f>
        <v>59.04</v>
      </c>
    </row>
    <row r="9" spans="1:11" x14ac:dyDescent="0.45">
      <c r="J9" t="s">
        <v>57</v>
      </c>
      <c r="K9" s="7">
        <f>K4*K8</f>
        <v>59.04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C0C4-9D4D-486C-8D4E-9D1FFCD4E276}">
  <dimension ref="A1:I30"/>
  <sheetViews>
    <sheetView tabSelected="1" workbookViewId="0">
      <selection activeCell="L10" sqref="L10"/>
    </sheetView>
  </sheetViews>
  <sheetFormatPr defaultRowHeight="14.25" x14ac:dyDescent="0.45"/>
  <cols>
    <col min="1" max="6" width="5.796875" bestFit="1" customWidth="1"/>
    <col min="7" max="7" width="12.46484375" bestFit="1" customWidth="1"/>
    <col min="8" max="8" width="5.796875" bestFit="1" customWidth="1"/>
  </cols>
  <sheetData>
    <row r="1" spans="1:9" ht="67.150000000000006" x14ac:dyDescent="0.45">
      <c r="A1" s="4" t="s">
        <v>78</v>
      </c>
      <c r="B1" s="4" t="s">
        <v>79</v>
      </c>
      <c r="C1" s="4" t="s">
        <v>87</v>
      </c>
      <c r="D1" s="4" t="s">
        <v>83</v>
      </c>
      <c r="E1" s="4" t="s">
        <v>85</v>
      </c>
      <c r="F1" s="4" t="s">
        <v>86</v>
      </c>
      <c r="G1" s="4" t="s">
        <v>82</v>
      </c>
      <c r="H1" s="4" t="s">
        <v>89</v>
      </c>
      <c r="I1" s="4" t="s">
        <v>92</v>
      </c>
    </row>
    <row r="2" spans="1:9" x14ac:dyDescent="0.45">
      <c r="A2">
        <v>1</v>
      </c>
      <c r="B2">
        <v>2</v>
      </c>
      <c r="C2">
        <v>1</v>
      </c>
      <c r="D2" t="s">
        <v>84</v>
      </c>
      <c r="E2">
        <v>8</v>
      </c>
      <c r="F2">
        <f>E2/2</f>
        <v>4</v>
      </c>
      <c r="G2" t="str">
        <f>"CD:" &amp; A2 &amp; "-" &amp; B2 &amp; " " &amp; D2 &amp; C2</f>
        <v>CD:1-2 MMF1</v>
      </c>
      <c r="H2">
        <v>10</v>
      </c>
    </row>
    <row r="3" spans="1:9" x14ac:dyDescent="0.45">
      <c r="A3">
        <v>2</v>
      </c>
      <c r="B3">
        <v>3</v>
      </c>
      <c r="C3">
        <v>2</v>
      </c>
      <c r="D3" t="s">
        <v>84</v>
      </c>
      <c r="E3">
        <v>8</v>
      </c>
      <c r="F3">
        <f t="shared" ref="F3:F24" si="0">E3/2</f>
        <v>4</v>
      </c>
      <c r="G3" t="str">
        <f t="shared" ref="G3:G10" si="1">"CD:" &amp; A3 &amp; "-" &amp; B3 &amp; " " &amp; D3 &amp; C3</f>
        <v>CD:2-3 MMF2</v>
      </c>
      <c r="H3">
        <v>10</v>
      </c>
    </row>
    <row r="4" spans="1:9" x14ac:dyDescent="0.45">
      <c r="A4">
        <v>3</v>
      </c>
      <c r="B4">
        <v>4</v>
      </c>
      <c r="C4">
        <v>3</v>
      </c>
      <c r="D4" t="s">
        <v>84</v>
      </c>
      <c r="E4">
        <v>8</v>
      </c>
      <c r="F4">
        <f t="shared" si="0"/>
        <v>4</v>
      </c>
      <c r="G4" t="str">
        <f t="shared" si="1"/>
        <v>CD:3-4 MMF3</v>
      </c>
      <c r="H4">
        <f>SUM(H2:H3)</f>
        <v>20</v>
      </c>
    </row>
    <row r="5" spans="1:9" x14ac:dyDescent="0.45">
      <c r="A5">
        <v>4</v>
      </c>
      <c r="B5">
        <v>5</v>
      </c>
      <c r="C5">
        <v>4</v>
      </c>
      <c r="D5" t="s">
        <v>84</v>
      </c>
      <c r="E5">
        <v>8</v>
      </c>
      <c r="F5">
        <f t="shared" si="0"/>
        <v>4</v>
      </c>
      <c r="G5" t="str">
        <f t="shared" si="1"/>
        <v>CD:4-5 MMF4</v>
      </c>
    </row>
    <row r="6" spans="1:9" x14ac:dyDescent="0.45">
      <c r="A6">
        <v>5</v>
      </c>
      <c r="B6">
        <v>6</v>
      </c>
      <c r="C6">
        <v>5</v>
      </c>
      <c r="D6" t="s">
        <v>84</v>
      </c>
      <c r="E6">
        <v>8</v>
      </c>
      <c r="F6">
        <f t="shared" si="0"/>
        <v>4</v>
      </c>
      <c r="G6" t="str">
        <f t="shared" si="1"/>
        <v>CD:5-6 MMF5</v>
      </c>
    </row>
    <row r="7" spans="1:9" x14ac:dyDescent="0.45">
      <c r="A7">
        <v>6</v>
      </c>
      <c r="B7">
        <v>7</v>
      </c>
      <c r="C7">
        <v>6</v>
      </c>
      <c r="D7" t="s">
        <v>84</v>
      </c>
      <c r="E7">
        <v>8</v>
      </c>
      <c r="F7">
        <f t="shared" si="0"/>
        <v>4</v>
      </c>
      <c r="G7" t="str">
        <f t="shared" si="1"/>
        <v>CD:6-7 MMF6</v>
      </c>
    </row>
    <row r="8" spans="1:9" x14ac:dyDescent="0.45">
      <c r="A8">
        <v>7</v>
      </c>
      <c r="B8">
        <v>8</v>
      </c>
      <c r="C8">
        <v>7</v>
      </c>
      <c r="D8" t="s">
        <v>84</v>
      </c>
      <c r="E8">
        <v>8</v>
      </c>
      <c r="F8">
        <f t="shared" si="0"/>
        <v>4</v>
      </c>
      <c r="G8" t="str">
        <f t="shared" si="1"/>
        <v>CD:7-8 MMF7</v>
      </c>
    </row>
    <row r="9" spans="1:9" x14ac:dyDescent="0.45">
      <c r="A9">
        <v>8</v>
      </c>
      <c r="B9">
        <v>9</v>
      </c>
      <c r="C9">
        <v>8</v>
      </c>
      <c r="D9" t="s">
        <v>84</v>
      </c>
      <c r="E9">
        <v>8</v>
      </c>
      <c r="F9">
        <f t="shared" si="0"/>
        <v>4</v>
      </c>
      <c r="G9" t="str">
        <f t="shared" si="1"/>
        <v>CD:8-9 MMF8</v>
      </c>
    </row>
    <row r="10" spans="1:9" x14ac:dyDescent="0.45">
      <c r="A10">
        <v>9</v>
      </c>
      <c r="B10">
        <v>10</v>
      </c>
      <c r="C10">
        <v>9</v>
      </c>
      <c r="D10" t="s">
        <v>84</v>
      </c>
      <c r="E10">
        <v>8</v>
      </c>
      <c r="F10">
        <f t="shared" si="0"/>
        <v>4</v>
      </c>
      <c r="G10" t="str">
        <f t="shared" si="1"/>
        <v>CD:9-10 MMF9</v>
      </c>
    </row>
    <row r="11" spans="1:9" x14ac:dyDescent="0.45">
      <c r="A11">
        <v>2</v>
      </c>
      <c r="B11">
        <v>7</v>
      </c>
      <c r="C11">
        <v>10</v>
      </c>
      <c r="D11" t="s">
        <v>84</v>
      </c>
      <c r="E11">
        <v>8</v>
      </c>
      <c r="F11">
        <f t="shared" si="0"/>
        <v>4</v>
      </c>
      <c r="G11" t="str">
        <f t="shared" ref="G11:G24" si="2">"CD:" &amp; A11 &amp; "-" &amp; B11 &amp; " " &amp; D11 &amp; C11</f>
        <v>CD:2-7 MMF10</v>
      </c>
    </row>
    <row r="12" spans="1:9" x14ac:dyDescent="0.45">
      <c r="A12">
        <v>4</v>
      </c>
      <c r="B12">
        <v>9</v>
      </c>
      <c r="C12">
        <v>11</v>
      </c>
      <c r="D12" t="s">
        <v>84</v>
      </c>
      <c r="E12">
        <v>8</v>
      </c>
      <c r="F12">
        <f t="shared" si="0"/>
        <v>4</v>
      </c>
      <c r="G12" t="str">
        <f t="shared" si="2"/>
        <v>CD:4-9 MMF11</v>
      </c>
    </row>
    <row r="14" spans="1:9" x14ac:dyDescent="0.45">
      <c r="A14">
        <v>1</v>
      </c>
      <c r="B14">
        <v>2</v>
      </c>
      <c r="C14">
        <v>1</v>
      </c>
      <c r="D14" t="s">
        <v>90</v>
      </c>
      <c r="E14">
        <v>8</v>
      </c>
      <c r="F14">
        <f t="shared" si="0"/>
        <v>4</v>
      </c>
      <c r="G14" t="str">
        <f t="shared" si="2"/>
        <v>CD:1-2 CD1</v>
      </c>
    </row>
    <row r="15" spans="1:9" x14ac:dyDescent="0.45">
      <c r="A15">
        <v>2</v>
      </c>
      <c r="B15">
        <v>3</v>
      </c>
      <c r="C15">
        <v>2</v>
      </c>
      <c r="D15" t="s">
        <v>90</v>
      </c>
      <c r="E15">
        <v>8</v>
      </c>
      <c r="F15">
        <f t="shared" si="0"/>
        <v>4</v>
      </c>
      <c r="G15" t="str">
        <f t="shared" si="2"/>
        <v>CD:2-3 CD2</v>
      </c>
    </row>
    <row r="16" spans="1:9" x14ac:dyDescent="0.45">
      <c r="A16">
        <v>3</v>
      </c>
      <c r="B16">
        <v>4</v>
      </c>
      <c r="C16">
        <v>3</v>
      </c>
      <c r="D16" t="s">
        <v>90</v>
      </c>
      <c r="E16">
        <v>8</v>
      </c>
      <c r="F16">
        <f t="shared" si="0"/>
        <v>4</v>
      </c>
      <c r="G16" t="str">
        <f t="shared" si="2"/>
        <v>CD:3-4 CD3</v>
      </c>
    </row>
    <row r="17" spans="1:7" x14ac:dyDescent="0.45">
      <c r="A17">
        <v>4</v>
      </c>
      <c r="B17">
        <v>5</v>
      </c>
      <c r="C17">
        <v>4</v>
      </c>
      <c r="D17" t="s">
        <v>90</v>
      </c>
      <c r="E17">
        <v>8</v>
      </c>
      <c r="F17">
        <f t="shared" si="0"/>
        <v>4</v>
      </c>
      <c r="G17" t="str">
        <f t="shared" si="2"/>
        <v>CD:4-5 CD4</v>
      </c>
    </row>
    <row r="18" spans="1:7" x14ac:dyDescent="0.45">
      <c r="A18">
        <v>5</v>
      </c>
      <c r="B18">
        <v>6</v>
      </c>
      <c r="C18">
        <v>5</v>
      </c>
      <c r="D18" t="s">
        <v>90</v>
      </c>
      <c r="E18">
        <v>8</v>
      </c>
      <c r="F18">
        <f t="shared" si="0"/>
        <v>4</v>
      </c>
      <c r="G18" t="str">
        <f t="shared" si="2"/>
        <v>CD:5-6 CD5</v>
      </c>
    </row>
    <row r="19" spans="1:7" x14ac:dyDescent="0.45">
      <c r="A19">
        <v>6</v>
      </c>
      <c r="B19">
        <v>7</v>
      </c>
      <c r="C19">
        <v>6</v>
      </c>
      <c r="D19" t="s">
        <v>90</v>
      </c>
      <c r="E19">
        <v>8</v>
      </c>
      <c r="F19">
        <f t="shared" si="0"/>
        <v>4</v>
      </c>
      <c r="G19" t="str">
        <f t="shared" si="2"/>
        <v>CD:6-7 CD6</v>
      </c>
    </row>
    <row r="20" spans="1:7" x14ac:dyDescent="0.45">
      <c r="A20">
        <v>7</v>
      </c>
      <c r="B20">
        <v>8</v>
      </c>
      <c r="C20">
        <v>7</v>
      </c>
      <c r="D20" t="s">
        <v>90</v>
      </c>
      <c r="E20">
        <v>8</v>
      </c>
      <c r="F20">
        <f t="shared" si="0"/>
        <v>4</v>
      </c>
      <c r="G20" t="str">
        <f t="shared" si="2"/>
        <v>CD:7-8 CD7</v>
      </c>
    </row>
    <row r="21" spans="1:7" x14ac:dyDescent="0.45">
      <c r="A21">
        <v>8</v>
      </c>
      <c r="B21">
        <v>9</v>
      </c>
      <c r="C21">
        <v>8</v>
      </c>
      <c r="D21" t="s">
        <v>90</v>
      </c>
      <c r="E21">
        <v>8</v>
      </c>
      <c r="F21">
        <f t="shared" si="0"/>
        <v>4</v>
      </c>
      <c r="G21" t="str">
        <f t="shared" si="2"/>
        <v>CD:8-9 CD8</v>
      </c>
    </row>
    <row r="22" spans="1:7" x14ac:dyDescent="0.45">
      <c r="A22">
        <v>9</v>
      </c>
      <c r="B22">
        <v>10</v>
      </c>
      <c r="C22">
        <v>9</v>
      </c>
      <c r="D22" t="s">
        <v>90</v>
      </c>
      <c r="E22">
        <v>8</v>
      </c>
      <c r="F22">
        <f t="shared" si="0"/>
        <v>4</v>
      </c>
      <c r="G22" t="str">
        <f t="shared" si="2"/>
        <v>CD:9-10 CD9</v>
      </c>
    </row>
    <row r="23" spans="1:7" x14ac:dyDescent="0.45">
      <c r="A23">
        <v>2</v>
      </c>
      <c r="B23">
        <v>7</v>
      </c>
      <c r="C23">
        <v>10</v>
      </c>
      <c r="D23" t="s">
        <v>90</v>
      </c>
      <c r="E23">
        <v>8</v>
      </c>
      <c r="F23">
        <f t="shared" si="0"/>
        <v>4</v>
      </c>
      <c r="G23" t="str">
        <f t="shared" si="2"/>
        <v>CD:2-7 CD10</v>
      </c>
    </row>
    <row r="24" spans="1:7" x14ac:dyDescent="0.45">
      <c r="A24">
        <v>4</v>
      </c>
      <c r="B24">
        <v>9</v>
      </c>
      <c r="C24">
        <v>11</v>
      </c>
      <c r="D24" t="s">
        <v>90</v>
      </c>
      <c r="E24">
        <v>8</v>
      </c>
      <c r="F24">
        <f t="shared" si="0"/>
        <v>4</v>
      </c>
      <c r="G24" t="str">
        <f t="shared" si="2"/>
        <v>CD:4-9 CD11</v>
      </c>
    </row>
    <row r="30" spans="1:7" x14ac:dyDescent="0.45">
      <c r="B30" t="s">
        <v>90</v>
      </c>
      <c r="C3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Summary</vt:lpstr>
      <vt:lpstr>FD1A</vt:lpstr>
      <vt:lpstr>FD1B</vt:lpstr>
      <vt:lpstr>BD1</vt:lpstr>
      <vt:lpstr>CD</vt:lpstr>
      <vt:lpstr>total1000mb</vt:lpstr>
      <vt:lpstr>total100mb</vt:lpstr>
      <vt:lpstr>total10mb</vt:lpstr>
      <vt:lpstr>totalCAT6</vt:lpstr>
      <vt:lpstr>totalPOTS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ricart</dc:creator>
  <cp:lastModifiedBy>quentin ricart</cp:lastModifiedBy>
  <dcterms:created xsi:type="dcterms:W3CDTF">2026-02-02T18:35:52Z</dcterms:created>
  <dcterms:modified xsi:type="dcterms:W3CDTF">2026-02-02T21:21:55Z</dcterms:modified>
</cp:coreProperties>
</file>